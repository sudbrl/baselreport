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adi\Downloads\"/>
    </mc:Choice>
  </mc:AlternateContent>
  <xr:revisionPtr revIDLastSave="0" documentId="13_ncr:1_{0893305B-3856-4232-93FA-61737A6A3C6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Sheet1" sheetId="3" r:id="rId2"/>
    <sheet name="Calender" sheetId="2" r:id="rId3"/>
  </sheets>
  <definedNames>
    <definedName name="_xlnm._FilterDatabase" localSheetId="2" hidden="1">Calender!$A$1:$E$23</definedName>
    <definedName name="_xlnm._FilterDatabase" localSheetId="0" hidden="1">Data!$A$1:$G$1438</definedName>
    <definedName name="_xlnm._FilterDatabase" localSheetId="1" hidden="1">Sheet1!$A$1:$C$22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04" i="1" l="1"/>
  <c r="F1400" i="1"/>
  <c r="I1404" i="1" l="1"/>
</calcChain>
</file>

<file path=xl/sharedStrings.xml><?xml version="1.0" encoding="utf-8"?>
<sst xmlns="http://schemas.openxmlformats.org/spreadsheetml/2006/main" count="3439" uniqueCount="248">
  <si>
    <t>2020-10-03-Basel Disclosures_Ashwin  2076.pdf</t>
  </si>
  <si>
    <t>Basel Disclosure-Poush End 2078.pdf</t>
  </si>
  <si>
    <t>Basel Disclosure_Ashwin 2077 new.pdf</t>
  </si>
  <si>
    <t>Basel II Ashad 2081.pdf</t>
  </si>
  <si>
    <t>Basel II Disclosure Ashwin 2079.pdf</t>
  </si>
  <si>
    <t>Basel II Disclosure file Chaitra 2079.pdf</t>
  </si>
  <si>
    <t>Basel II Disclosure File_Poush 2079.pdf</t>
  </si>
  <si>
    <t>BASEL II Disclosures for Ashad 2079.pdf</t>
  </si>
  <si>
    <t>Basel II Disclosures_Chaitra 2078.pdf</t>
  </si>
  <si>
    <t>basel II disclosure_Ashad 2077.pdf</t>
  </si>
  <si>
    <t>Basel II disclosure_Chaitra  2076.pdf.xlsx.pdf</t>
  </si>
  <si>
    <t>Basel II_Ashad 2078_rev._pub.pdf</t>
  </si>
  <si>
    <t>Basel II_Ashwin 2078_disclosure.pdf</t>
  </si>
  <si>
    <t>Basel II_Chaitra 2077.pdf</t>
  </si>
  <si>
    <t>Basel II_Disclosure_Poush 2077_new.pdf</t>
  </si>
  <si>
    <t>Basell II Disclosure file Ashwin 2080.pdf</t>
  </si>
  <si>
    <t>Basell II Disclosure file Poush 2080.pdf</t>
  </si>
  <si>
    <t>Basell II Disclosure Poush 2076.pdf</t>
  </si>
  <si>
    <t>Basell III Disclosure Chaitra 2080 (F.Y. 2080.81).pdf</t>
  </si>
  <si>
    <t>Basell III Disclosure Poush 2081.pdf</t>
  </si>
  <si>
    <t>Particulars</t>
  </si>
  <si>
    <t>Total Capital Fund</t>
  </si>
  <si>
    <t>Total Capital Fund To Total Risk Weighted Exposures</t>
  </si>
  <si>
    <t>Eligible Supplementary Capital (Tier 2)</t>
  </si>
  <si>
    <t>Share Premium</t>
  </si>
  <si>
    <t>Proposed Bonus Equity Shares</t>
  </si>
  <si>
    <t>Statutory General Reserves</t>
  </si>
  <si>
    <t>Retained Earnings</t>
  </si>
  <si>
    <t>Capital Adjustment Reserve</t>
  </si>
  <si>
    <t>Other Free Reserve</t>
  </si>
  <si>
    <t>Less: Deferred Tax Reserve</t>
  </si>
  <si>
    <t>Core Capital (Tier 1)</t>
  </si>
  <si>
    <t>Exchange Equalization Reserves</t>
  </si>
  <si>
    <t>Investment Adjustment Reserve</t>
  </si>
  <si>
    <t>Supplementary Capital (Tier 2)</t>
  </si>
  <si>
    <t>Core Capital</t>
  </si>
  <si>
    <t>Supplementary Capital</t>
  </si>
  <si>
    <t>Total Qualifying Capital (Total Capital Fund)</t>
  </si>
  <si>
    <t>Capital Adequacy Ratio – Core Capital</t>
  </si>
  <si>
    <t>Capital Adequacy Ratio – Total Capital Fund</t>
  </si>
  <si>
    <t>Lending Against Securities (Bonds &amp; Shares)</t>
  </si>
  <si>
    <t>Other Assets</t>
  </si>
  <si>
    <t>Restructure Loan/Reschedule Loan</t>
  </si>
  <si>
    <t>Substandard Loan</t>
  </si>
  <si>
    <t>Doubtful Loan</t>
  </si>
  <si>
    <t>Loss Loan</t>
  </si>
  <si>
    <t>Description</t>
  </si>
  <si>
    <t>Loan Loss Provision</t>
  </si>
  <si>
    <t>Interest Suspense</t>
  </si>
  <si>
    <t>Held For Trading</t>
  </si>
  <si>
    <t>Held To Maturity</t>
  </si>
  <si>
    <t>Available For Sale</t>
  </si>
  <si>
    <t>Total Investment</t>
  </si>
  <si>
    <t>Less: Deductions</t>
  </si>
  <si>
    <t>Subordinated Term Debt</t>
  </si>
  <si>
    <t>Less: Other Deductions</t>
  </si>
  <si>
    <t>-</t>
  </si>
  <si>
    <t>Gross(Loan)</t>
  </si>
  <si>
    <t>Net</t>
  </si>
  <si>
    <t>Movements(NPR)</t>
  </si>
  <si>
    <t>Movements
(NPR)</t>
  </si>
  <si>
    <t>Movements(%)</t>
  </si>
  <si>
    <t>Movements
(%)</t>
  </si>
  <si>
    <t>Movements(%
)</t>
  </si>
  <si>
    <t>LoanLossProvision</t>
  </si>
  <si>
    <t>PreviousQuater(As
onAshadEnd2076)</t>
  </si>
  <si>
    <t>PreviousQuater(As
onAshadEnd2074)</t>
  </si>
  <si>
    <t>PreviousQuater(Ason
AshojEnd2078)</t>
  </si>
  <si>
    <t>PreviousQuarter(Ason
AshojEnd2078)</t>
  </si>
  <si>
    <t>PreviousQuater(As
onAshadEnd2077)</t>
  </si>
  <si>
    <t>PreviousQuater
(AsonChaitra2080)</t>
  </si>
  <si>
    <t>PreviousQuater
(AsonChaitraEnd2080)</t>
  </si>
  <si>
    <t>PreviousQuarter(As
onAshadEnd2079)</t>
  </si>
  <si>
    <t>PreviousQuater(Ason
AshadEnd2079)</t>
  </si>
  <si>
    <t>PreviousQuater(Ason
Poush2079End2079)</t>
  </si>
  <si>
    <t>PreviousQuater(Ason
PoushEndEnd2079)</t>
  </si>
  <si>
    <t>PreviousQuater(Ason
AshwinEnd2079)</t>
  </si>
  <si>
    <t>PreviousQuarter(Ason
AshwinEnd2079)</t>
  </si>
  <si>
    <t>PreviousQuater(Ason
ChaitraEnd2078)</t>
  </si>
  <si>
    <t>PreviousQuarter(As
onPoushEnd2078)</t>
  </si>
  <si>
    <t>PreviousQuater(As
onChairaEnd2076)</t>
  </si>
  <si>
    <t>PreviousQuater(Ason
ChaitraEnd2076)</t>
  </si>
  <si>
    <t>PreviousQuater(Ason
PoushEnd2076)</t>
  </si>
  <si>
    <t>PreviousQuater(As
onChitraEnd2077)</t>
  </si>
  <si>
    <t>PreviousQuater(Ason
ChaitraEnd2077)</t>
  </si>
  <si>
    <t>PreviousQuater(Ason
AshadEnd2078)</t>
  </si>
  <si>
    <t>PreviousQuater(As
onPoushEnd2077)</t>
  </si>
  <si>
    <t>PreviousQuater(As
onAshwinEnd2077)</t>
  </si>
  <si>
    <t>PreviousQuater(Ason
Ashad2080)</t>
  </si>
  <si>
    <t>PreviousQuater(Ason
AshadEnd2080)</t>
  </si>
  <si>
    <t>PreviousQuater(Ason
Ashwin2080)</t>
  </si>
  <si>
    <t>PreviousQuater(Ason
AshwinEnd2080)</t>
  </si>
  <si>
    <t>PreviousQuater(Ason
AshwinEnd2076)</t>
  </si>
  <si>
    <t>PreviousQuarter(As
onPoush2080)</t>
  </si>
  <si>
    <t>AshwinEnd2081</t>
  </si>
  <si>
    <t>Rs</t>
  </si>
  <si>
    <t>Poush 2081</t>
  </si>
  <si>
    <t>Ashoj 2076</t>
  </si>
  <si>
    <t>Ashoj 2078</t>
  </si>
  <si>
    <t>Ashoj 2081</t>
  </si>
  <si>
    <t>Ashoj 2079</t>
  </si>
  <si>
    <t>Ashoj 2077</t>
  </si>
  <si>
    <t>Ashoj 2080</t>
  </si>
  <si>
    <t>Poush 2078</t>
  </si>
  <si>
    <t>Asadh 2078</t>
  </si>
  <si>
    <t>Chaitra 2079</t>
  </si>
  <si>
    <t>Poush 2080</t>
  </si>
  <si>
    <t>Poush 2079</t>
  </si>
  <si>
    <t>Asadh 2079</t>
  </si>
  <si>
    <t>Chaitra 2078</t>
  </si>
  <si>
    <t>Asadh 2077</t>
  </si>
  <si>
    <t>Chaitra 2076</t>
  </si>
  <si>
    <t>Chaitra 2077</t>
  </si>
  <si>
    <t>Poush 2077</t>
  </si>
  <si>
    <t>Poush 2076</t>
  </si>
  <si>
    <t>Chaitra 2080</t>
  </si>
  <si>
    <t>Date</t>
  </si>
  <si>
    <t>FY</t>
  </si>
  <si>
    <t>Year</t>
  </si>
  <si>
    <t>Asadh 2081</t>
  </si>
  <si>
    <t>Month</t>
  </si>
  <si>
    <t>ThisYear(AsonAshwin
End2076)</t>
  </si>
  <si>
    <t>ThisQuater(AsonAshwin
End2075)</t>
  </si>
  <si>
    <t>ThisYear(AsonPoushEnd
2078)</t>
  </si>
  <si>
    <t>ThisQuarter(AsonPoush
End2078)</t>
  </si>
  <si>
    <t>ThisYear(AsonAshwin
End2077)</t>
  </si>
  <si>
    <t>ThisYear(Ason
AshwinEnd2079)</t>
  </si>
  <si>
    <t>ThisYear(AsonChaitra
2079)</t>
  </si>
  <si>
    <t>ThisYear(AsonPoush
2079)</t>
  </si>
  <si>
    <t>ThisYear(AsonPoush
End2079)</t>
  </si>
  <si>
    <t>ThisYear(AsonAshad
End2079)</t>
  </si>
  <si>
    <t>ThisYear(Ason
ChaitraEnd2078)</t>
  </si>
  <si>
    <t>ThisQuarter(Ason
ChaitraEnd2078)</t>
  </si>
  <si>
    <t>ThisYear(AsonAshadEnd
2077)</t>
  </si>
  <si>
    <t>ThisQuater(AsonAshad
End2077)</t>
  </si>
  <si>
    <t>ThisYear(AsonChaitra
End2076)</t>
  </si>
  <si>
    <t>ThisYear(AsonAshad
End2078)</t>
  </si>
  <si>
    <t>ThisQuater(AsonAshad
End2078)</t>
  </si>
  <si>
    <t>ThisYear(AsonAshwin
End2078)</t>
  </si>
  <si>
    <t>ThisQuater(AsonAshwin
End2078)</t>
  </si>
  <si>
    <t>ThisYear(AsonChaitra
End2077)</t>
  </si>
  <si>
    <t>ThisQuater(AsonChaitra
End2077)</t>
  </si>
  <si>
    <t>ThisYear(AsonPoush
End2077)</t>
  </si>
  <si>
    <t>ThisQuater(AsonPoush
End2077)</t>
  </si>
  <si>
    <t>ThisYear(AsonAshwin
2080)</t>
  </si>
  <si>
    <t>ThisYear(AsonAshwin
End2080)</t>
  </si>
  <si>
    <t>ThisYear(AsonPoush
2080)</t>
  </si>
  <si>
    <t>ThisYear(AsonPoushEnd
2080)</t>
  </si>
  <si>
    <t>ThisYear(AsonPoushEnd
2076)</t>
  </si>
  <si>
    <t>ThisQuater(AsonPoush
End2076)</t>
  </si>
  <si>
    <t>ThisYear(Ason
Chaitra2080)</t>
  </si>
  <si>
    <t>Amount(In'000')</t>
  </si>
  <si>
    <t>PoushEnd2081</t>
  </si>
  <si>
    <t>Helper</t>
  </si>
  <si>
    <t>Particular</t>
  </si>
  <si>
    <t>Asadh 2080</t>
  </si>
  <si>
    <t>8959-Basel Disclosure Ashwin 2081.pdf</t>
  </si>
  <si>
    <t>Equity Share Premium</t>
  </si>
  <si>
    <t>Capital Redemption Reserve</t>
  </si>
  <si>
    <t>Debenture Redemption Reserve</t>
  </si>
  <si>
    <t>Dividend Equalization Reserves</t>
  </si>
  <si>
    <t>Bargain Purchase Gain</t>
  </si>
  <si>
    <t>Less: Goodwill</t>
  </si>
  <si>
    <t>Less: Intangible Assets</t>
  </si>
  <si>
    <t>Less: Fictitious Assets</t>
  </si>
  <si>
    <t>Less: Cash Flow Hedge</t>
  </si>
  <si>
    <t>Less: Defined Benefits Pension Assets</t>
  </si>
  <si>
    <t>Less: Unrecognized Defined Benefit Pension Liabilities</t>
  </si>
  <si>
    <t>Total Core Capital (Tier I)</t>
  </si>
  <si>
    <t>Hybrid Capital Instruments</t>
  </si>
  <si>
    <t>Stock Premium</t>
  </si>
  <si>
    <t>Other Reserves</t>
  </si>
  <si>
    <t>Balance Sheet Exposures</t>
  </si>
  <si>
    <t>Personal Hirepurchase/Personal Auto Loans</t>
  </si>
  <si>
    <t>2,046,988.62</t>
  </si>
  <si>
    <t>This Quarter</t>
  </si>
  <si>
    <t>Previous Quarter</t>
  </si>
  <si>
    <t>Change</t>
  </si>
  <si>
    <t>Non-Performing Loan (In Amt)</t>
  </si>
  <si>
    <t>Non-Performing Loan (In %)</t>
  </si>
  <si>
    <t>ThisYear
(As on Ashad2081)</t>
  </si>
  <si>
    <t>Risk Weighted Exposure For Operational Risk</t>
  </si>
  <si>
    <t>Risk Weighted Exposure For Market Risk</t>
  </si>
  <si>
    <t>Total Risk Weighted Exposures (A+B+C)</t>
  </si>
  <si>
    <t>Claims On Government And Central Bank</t>
  </si>
  <si>
    <t>Claims On Other Financial Entities</t>
  </si>
  <si>
    <t>Claims On Banks</t>
  </si>
  <si>
    <t>Claims On Corporate And Securities Firm</t>
  </si>
  <si>
    <t>Claims On Regulatory Retail Portfolio</t>
  </si>
  <si>
    <t>Claim Secured By Residential Properties</t>
  </si>
  <si>
    <t>Claims Secured By Commercial Real State</t>
  </si>
  <si>
    <t>Past Due Claims</t>
  </si>
  <si>
    <t>High Risk Claims</t>
  </si>
  <si>
    <t>Off Balance Sheet Items</t>
  </si>
  <si>
    <t>Risk Weighted Exposure For Credit Risk</t>
  </si>
  <si>
    <t>Gross Npa To Gross Advances</t>
  </si>
  <si>
    <t>Net Npa To Net Advances</t>
  </si>
  <si>
    <t>Paid Up Equity Share Capital</t>
  </si>
  <si>
    <t>Un-Audited Current Year Cumulative Profit</t>
  </si>
  <si>
    <t>General Loan Loss Provision</t>
  </si>
  <si>
    <t>Write Off Of Loan And Advance</t>
  </si>
  <si>
    <t>Write Off Of Interest Suspenses</t>
  </si>
  <si>
    <t>Adjustments Under Pillar Ii</t>
  </si>
  <si>
    <t>Total Risk Weighted Exposures (A+B+C+D)</t>
  </si>
  <si>
    <t>Add Rwe Equvalent To Reciprocal Of Capital Charge Of 3 % Of Gross Income.</t>
  </si>
  <si>
    <t>Overall Risk Management Policies And Precedures Are Not Satisfactory. Add 3% Of Rwe</t>
  </si>
  <si>
    <t>Pg &amp; Third Party Collateral</t>
  </si>
  <si>
    <t>Less: Investment In Equity Of Institutions In Excess Of Limits</t>
  </si>
  <si>
    <t>Total Deductions From Capital</t>
  </si>
  <si>
    <t>Net Liquid Assets To Total Deposit Ratio Is Shortfall</t>
  </si>
  <si>
    <t>Add Rwe Equvalent To Reciprocal Of Capital Charge</t>
  </si>
  <si>
    <t>Overall Risk Management Policies And Precedures Are Not Satisfactory</t>
  </si>
  <si>
    <t>Add Rwe Equivalent To Reciprocal Of Capital Charge</t>
  </si>
  <si>
    <t>Irredeemable Non-Cumulative Preference Shares</t>
  </si>
  <si>
    <t>Less: Investment In Equity Of Institutions With Financial Interests</t>
  </si>
  <si>
    <t>Personal Hirepurchase/Personal Auto Loans (Upto Rs. 2.5 Million)</t>
  </si>
  <si>
    <t>Personal Hirepurchase/Personal Auto Loans (Above Rs. 2.5 Million)</t>
  </si>
  <si>
    <t>Claims Secured By Residential Properties (OVERDUE)</t>
  </si>
  <si>
    <t>Real Estate Loans For Land Acquisition And Development (Other Than Mentioned In
Capital Adequacy Framework 2015-Point 3.3(J)(1)(K))</t>
  </si>
  <si>
    <t>Lending Against Shares(Upto Rs.5 Million)</t>
  </si>
  <si>
    <t>Lending Against Shares(Above Rs.5 Million)</t>
  </si>
  <si>
    <t>Real Estate Loans For Land Acquisition And Development (Other Than Mentioned
In Capital Adequacy Framework 2015-Point 3.3(J)(1)(K))</t>
  </si>
  <si>
    <t>Overall Risk Management Policies And Precedures Are Not Satisfact</t>
  </si>
  <si>
    <t>Unaudited Current Year Cumulative Profit/(Loss)</t>
  </si>
  <si>
    <t>Less: Investment In Equity In Licensed Financial Institutions</t>
  </si>
  <si>
    <t>Less: Investments Arising Out Of Underwriting Commitments</t>
  </si>
  <si>
    <t>Less: Reciprocal Crossholdings</t>
  </si>
  <si>
    <t>Less: Purchase Of Land &amp; Building In Excess Of Limit And Unutilized</t>
  </si>
  <si>
    <t>Less: Negative Balances Of Reserve Accounts</t>
  </si>
  <si>
    <t>Cumulative And/Or Redeemable Preference Share</t>
  </si>
  <si>
    <t>Accrued Interest Receivable On Pass Loan Included In Regulatory Reserve</t>
  </si>
  <si>
    <t>Interest Capitalized Reserve Included In Regulatory Reserve</t>
  </si>
  <si>
    <t>Total Supplementary Capital (Tier Ii)</t>
  </si>
  <si>
    <t>Total Risk Weighted Exposures (Before Adjustments Of Pillar Ii)</t>
  </si>
  <si>
    <t>Adjustment As Per Srp 6.4A (7)</t>
  </si>
  <si>
    <t>Adjustment As Per Srp 6.4A (9)</t>
  </si>
  <si>
    <t>Total Risk Weighted Exposures (After Bank'S Adjustments Of Pillar Ii)</t>
  </si>
  <si>
    <t>Claims On Domestic Banks That Meet Capital Adequacy Requirements</t>
  </si>
  <si>
    <t>Claim Secured By Residential Properties (OVERDUE)</t>
  </si>
  <si>
    <t>Real Estate Loans For Land Acquisition And Development (Other Than Mentioned In Capital Adequacy
Framework 2015-Point 3.3(J)(1)(K))</t>
  </si>
  <si>
    <t>Investments In Equity And Other Capital Instruments Of Institutions Listed In Stock Exchange</t>
  </si>
  <si>
    <t>Investments In Equity And Other Capital Instruments Of Institutions Not Listed In The Stock Exchange</t>
  </si>
  <si>
    <t>Staff Loan Secured By Residential Property</t>
  </si>
  <si>
    <t>Bid Bond, Performance Bond And Counter Guarantee Domestic Counterparty</t>
  </si>
  <si>
    <t>Irrevocable Credit Commitments (Short Term)</t>
  </si>
  <si>
    <t>Loan Written Off During The Reporting Period</t>
  </si>
  <si>
    <t>( 219,266)</t>
  </si>
  <si>
    <t>1,500,000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</si>
</sst>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 applyAlignment="1">
      <alignment horizontal="center"/>
    </xf>
    <xf numFmtId="10" fontId="0" fillId="0" borderId="0" xfId="2" applyNumberFormat="1" applyFont="1" applyAlignment="1">
      <alignment horizontal="center"/>
    </xf>
    <xf numFmtId="43" fontId="1" fillId="0" borderId="0" xfId="1" applyFont="1" applyAlignment="1">
      <alignment horizontal="center" wrapText="1"/>
    </xf>
    <xf numFmtId="43" fontId="1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 wrapText="1"/>
    </xf>
    <xf numFmtId="10" fontId="0" fillId="0" borderId="0" xfId="0" applyNumberFormat="1"/>
    <xf numFmtId="43" fontId="0" fillId="0" borderId="0" xfId="1" applyFont="1"/>
    <xf numFmtId="43" fontId="0" fillId="0" borderId="0" xfId="1" applyFont="1" applyAlignment="1"/>
    <xf numFmtId="43" fontId="0" fillId="0" borderId="0" xfId="0" applyNumberFormat="1"/>
    <xf numFmtId="0" fontId="0" fillId="0" borderId="0" xfId="0" applyAlignment="1">
      <alignment wrapText="1"/>
    </xf>
    <xf numFmtId="43" fontId="0" fillId="0" borderId="0" xfId="1" applyFont="1" applyFill="1" applyAlignment="1"/>
    <xf numFmtId="43" fontId="1" fillId="0" borderId="1" xfId="1" applyFont="1" applyBorder="1" applyAlignment="1">
      <alignment vertical="top"/>
    </xf>
    <xf numFmtId="10" fontId="0" fillId="0" borderId="0" xfId="2" applyNumberFormat="1" applyFont="1" applyAlignment="1"/>
    <xf numFmtId="43" fontId="1" fillId="0" borderId="0" xfId="1" applyFont="1" applyAlignment="1"/>
    <xf numFmtId="43" fontId="1" fillId="0" borderId="0" xfId="1" applyFont="1" applyAlignment="1">
      <alignment wrapText="1"/>
    </xf>
    <xf numFmtId="0" fontId="0" fillId="0" borderId="0" xfId="2" applyNumberFormat="1" applyFont="1" applyAlignment="1"/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10" fontId="0" fillId="0" borderId="0" xfId="2" applyNumberFormat="1" applyFont="1"/>
    <xf numFmtId="4" fontId="0" fillId="0" borderId="0" xfId="0" applyNumberFormat="1" applyAlignment="1">
      <alignment horizontal="right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19240148172968E-2"/>
          <c:y val="9.9875555555555579E-2"/>
          <c:w val="0.90877697734591689"/>
          <c:h val="0.63047475065616798"/>
        </c:manualLayout>
      </c:layout>
      <c:area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 Gross Npa To Gross Advances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Sheet1!$A$2:$A$22</c:f>
              <c:strCache>
                <c:ptCount val="21"/>
                <c:pt idx="0">
                  <c:v>Ashoj 2076</c:v>
                </c:pt>
                <c:pt idx="1">
                  <c:v>Poush 2076</c:v>
                </c:pt>
                <c:pt idx="2">
                  <c:v>Chaitra 2076</c:v>
                </c:pt>
                <c:pt idx="3">
                  <c:v>Asadh 2077</c:v>
                </c:pt>
                <c:pt idx="4">
                  <c:v>Ashoj 2077</c:v>
                </c:pt>
                <c:pt idx="5">
                  <c:v>Poush 2077</c:v>
                </c:pt>
                <c:pt idx="6">
                  <c:v>Chaitra 2077</c:v>
                </c:pt>
                <c:pt idx="7">
                  <c:v>Asadh 2078</c:v>
                </c:pt>
                <c:pt idx="8">
                  <c:v>Ashoj 2078</c:v>
                </c:pt>
                <c:pt idx="9">
                  <c:v>Poush 2078</c:v>
                </c:pt>
                <c:pt idx="10">
                  <c:v>Chaitra 2078</c:v>
                </c:pt>
                <c:pt idx="11">
                  <c:v>Asadh 2079</c:v>
                </c:pt>
                <c:pt idx="12">
                  <c:v>Ashoj 2079</c:v>
                </c:pt>
                <c:pt idx="13">
                  <c:v>Poush 2079</c:v>
                </c:pt>
                <c:pt idx="14">
                  <c:v>Chaitra 2079</c:v>
                </c:pt>
                <c:pt idx="15">
                  <c:v>Ashoj 2080</c:v>
                </c:pt>
                <c:pt idx="16">
                  <c:v>Poush 2080</c:v>
                </c:pt>
                <c:pt idx="17">
                  <c:v>Chaitra 2080</c:v>
                </c:pt>
                <c:pt idx="18">
                  <c:v>Asadh 2081</c:v>
                </c:pt>
                <c:pt idx="19">
                  <c:v>Ashoj 2081</c:v>
                </c:pt>
                <c:pt idx="20">
                  <c:v>Poush 2081</c:v>
                </c:pt>
              </c:strCache>
            </c:strRef>
          </c:cat>
          <c:val>
            <c:numRef>
              <c:f>Sheet1!$B$2:$B$22</c:f>
              <c:numCache>
                <c:formatCode>0.00%</c:formatCode>
                <c:ptCount val="21"/>
                <c:pt idx="0">
                  <c:v>8.3000000000000001E-3</c:v>
                </c:pt>
                <c:pt idx="1">
                  <c:v>8.0000000000000002E-3</c:v>
                </c:pt>
                <c:pt idx="2">
                  <c:v>7.6E-3</c:v>
                </c:pt>
                <c:pt idx="3">
                  <c:v>6.7999999999999996E-3</c:v>
                </c:pt>
                <c:pt idx="4">
                  <c:v>6.4999999999999997E-3</c:v>
                </c:pt>
                <c:pt idx="5">
                  <c:v>6.7999999999999996E-3</c:v>
                </c:pt>
                <c:pt idx="6">
                  <c:v>5.7999999999999996E-3</c:v>
                </c:pt>
                <c:pt idx="7">
                  <c:v>8.0000000000000002E-3</c:v>
                </c:pt>
                <c:pt idx="8">
                  <c:v>6.7999999999999996E-3</c:v>
                </c:pt>
                <c:pt idx="9">
                  <c:v>1.47E-2</c:v>
                </c:pt>
                <c:pt idx="10">
                  <c:v>1.37E-2</c:v>
                </c:pt>
                <c:pt idx="11">
                  <c:v>1.4200000000000001E-2</c:v>
                </c:pt>
                <c:pt idx="12">
                  <c:v>2.5000000000000001E-2</c:v>
                </c:pt>
                <c:pt idx="13">
                  <c:v>3.5299999999999998E-2</c:v>
                </c:pt>
                <c:pt idx="14">
                  <c:v>3.8899999999999997E-2</c:v>
                </c:pt>
                <c:pt idx="15">
                  <c:v>3.7499999999999999E-2</c:v>
                </c:pt>
                <c:pt idx="16">
                  <c:v>4.8800000000000003E-2</c:v>
                </c:pt>
                <c:pt idx="17">
                  <c:v>4.9700000000000001E-2</c:v>
                </c:pt>
                <c:pt idx="18">
                  <c:v>4.9500000000000002E-2</c:v>
                </c:pt>
                <c:pt idx="19">
                  <c:v>4.9799999999999997E-2</c:v>
                </c:pt>
                <c:pt idx="20">
                  <c:v>4.9799999999999997E-2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E-4169-B01E-FF525371CE86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Net Npa To Net Advances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Sheet1!$A$2:$A$22</c:f>
              <c:strCache>
                <c:ptCount val="21"/>
                <c:pt idx="0">
                  <c:v>Ashoj 2076</c:v>
                </c:pt>
                <c:pt idx="1">
                  <c:v>Poush 2076</c:v>
                </c:pt>
                <c:pt idx="2">
                  <c:v>Chaitra 2076</c:v>
                </c:pt>
                <c:pt idx="3">
                  <c:v>Asadh 2077</c:v>
                </c:pt>
                <c:pt idx="4">
                  <c:v>Ashoj 2077</c:v>
                </c:pt>
                <c:pt idx="5">
                  <c:v>Poush 2077</c:v>
                </c:pt>
                <c:pt idx="6">
                  <c:v>Chaitra 2077</c:v>
                </c:pt>
                <c:pt idx="7">
                  <c:v>Asadh 2078</c:v>
                </c:pt>
                <c:pt idx="8">
                  <c:v>Ashoj 2078</c:v>
                </c:pt>
                <c:pt idx="9">
                  <c:v>Poush 2078</c:v>
                </c:pt>
                <c:pt idx="10">
                  <c:v>Chaitra 2078</c:v>
                </c:pt>
                <c:pt idx="11">
                  <c:v>Asadh 2079</c:v>
                </c:pt>
                <c:pt idx="12">
                  <c:v>Ashoj 2079</c:v>
                </c:pt>
                <c:pt idx="13">
                  <c:v>Poush 2079</c:v>
                </c:pt>
                <c:pt idx="14">
                  <c:v>Chaitra 2079</c:v>
                </c:pt>
                <c:pt idx="15">
                  <c:v>Ashoj 2080</c:v>
                </c:pt>
                <c:pt idx="16">
                  <c:v>Poush 2080</c:v>
                </c:pt>
                <c:pt idx="17">
                  <c:v>Chaitra 2080</c:v>
                </c:pt>
                <c:pt idx="18">
                  <c:v>Asadh 2081</c:v>
                </c:pt>
                <c:pt idx="19">
                  <c:v>Ashoj 2081</c:v>
                </c:pt>
                <c:pt idx="20">
                  <c:v>Poush 2081</c:v>
                </c:pt>
              </c:strCache>
            </c:strRef>
          </c:cat>
          <c:val>
            <c:numRef>
              <c:f>Sheet1!$C$2:$C$22</c:f>
              <c:numCache>
                <c:formatCode>0.00%</c:formatCode>
                <c:ptCount val="21"/>
                <c:pt idx="0">
                  <c:v>7.4999999999999997E-3</c:v>
                </c:pt>
                <c:pt idx="1">
                  <c:v>4.1999999999999997E-3</c:v>
                </c:pt>
                <c:pt idx="2">
                  <c:v>4.3E-3</c:v>
                </c:pt>
                <c:pt idx="3">
                  <c:v>2.5000000000000001E-3</c:v>
                </c:pt>
                <c:pt idx="4">
                  <c:v>1.2999999999999999E-3</c:v>
                </c:pt>
                <c:pt idx="5">
                  <c:v>1.6000000000000001E-3</c:v>
                </c:pt>
                <c:pt idx="6">
                  <c:v>1.5E-3</c:v>
                </c:pt>
                <c:pt idx="7">
                  <c:v>3.0999999999999999E-3</c:v>
                </c:pt>
                <c:pt idx="8">
                  <c:v>2.7000000000000001E-3</c:v>
                </c:pt>
                <c:pt idx="9">
                  <c:v>8.5000000000000006E-3</c:v>
                </c:pt>
                <c:pt idx="10">
                  <c:v>8.3999999999999995E-3</c:v>
                </c:pt>
                <c:pt idx="11">
                  <c:v>7.0000000000000001E-3</c:v>
                </c:pt>
                <c:pt idx="12">
                  <c:v>1.3899999999999999E-2</c:v>
                </c:pt>
                <c:pt idx="13">
                  <c:v>1.8599999999999998E-2</c:v>
                </c:pt>
                <c:pt idx="14">
                  <c:v>2.12E-2</c:v>
                </c:pt>
                <c:pt idx="15">
                  <c:v>1.7999999999999999E-2</c:v>
                </c:pt>
                <c:pt idx="16">
                  <c:v>1.9400000000000001E-2</c:v>
                </c:pt>
                <c:pt idx="17">
                  <c:v>1.7500000000000002E-2</c:v>
                </c:pt>
                <c:pt idx="18">
                  <c:v>1.4500000000000001E-2</c:v>
                </c:pt>
                <c:pt idx="19">
                  <c:v>1.7399999999999999E-2</c:v>
                </c:pt>
                <c:pt idx="20">
                  <c:v>1.3100000000000001E-2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AE-4169-B01E-FF525371C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253679"/>
        <c:axId val="557134431"/>
      </c:areaChart>
      <c:catAx>
        <c:axId val="54625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34431"/>
        <c:crosses val="autoZero"/>
        <c:auto val="1"/>
        <c:lblAlgn val="ctr"/>
        <c:lblOffset val="100"/>
        <c:noMultiLvlLbl val="0"/>
      </c:catAx>
      <c:valAx>
        <c:axId val="55713443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53679"/>
        <c:crosses val="autoZero"/>
        <c:crossBetween val="midCat"/>
      </c:valAx>
      <c:spPr>
        <a:noFill/>
        <a:ln>
          <a:solidFill>
            <a:schemeClr val="accent3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104775</xdr:rowOff>
    </xdr:from>
    <xdr:to>
      <xdr:col>15</xdr:col>
      <xdr:colOff>19050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8F34F-A07F-46F1-A4E4-4529C8BA7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38"/>
  <sheetViews>
    <sheetView tabSelected="1" zoomScaleNormal="100" workbookViewId="0">
      <selection activeCell="D10" sqref="D10"/>
    </sheetView>
  </sheetViews>
  <sheetFormatPr defaultRowHeight="14.4" x14ac:dyDescent="0.3"/>
  <cols>
    <col min="1" max="1" width="11.6640625" bestFit="1" customWidth="1"/>
    <col min="2" max="2" width="10.88671875" style="7" hidden="1" customWidth="1"/>
    <col min="3" max="3" width="37.33203125" customWidth="1"/>
    <col min="4" max="4" width="22.88671875" style="15" bestFit="1" customWidth="1"/>
    <col min="5" max="5" width="17.5546875" style="3" bestFit="1" customWidth="1"/>
    <col min="6" max="6" width="17.6640625" style="3" customWidth="1"/>
    <col min="7" max="7" width="14.6640625" style="7" bestFit="1" customWidth="1"/>
    <col min="9" max="9" width="10.33203125" bestFit="1" customWidth="1"/>
  </cols>
  <sheetData>
    <row r="1" spans="1:7" x14ac:dyDescent="0.3">
      <c r="A1" s="1" t="s">
        <v>120</v>
      </c>
      <c r="B1" s="1" t="s">
        <v>153</v>
      </c>
      <c r="C1" s="1" t="s">
        <v>20</v>
      </c>
      <c r="D1" s="19" t="s">
        <v>95</v>
      </c>
      <c r="E1" s="2" t="s">
        <v>95</v>
      </c>
      <c r="F1" s="2" t="s">
        <v>95</v>
      </c>
      <c r="G1" s="1" t="s">
        <v>61</v>
      </c>
    </row>
    <row r="2" spans="1:7" x14ac:dyDescent="0.3">
      <c r="A2" t="s">
        <v>97</v>
      </c>
      <c r="B2" s="7">
        <v>1</v>
      </c>
      <c r="C2" t="s">
        <v>197</v>
      </c>
      <c r="D2" s="15">
        <v>3100039</v>
      </c>
    </row>
    <row r="3" spans="1:7" x14ac:dyDescent="0.3">
      <c r="A3" t="s">
        <v>97</v>
      </c>
      <c r="B3" s="7">
        <v>1</v>
      </c>
      <c r="C3" t="s">
        <v>24</v>
      </c>
      <c r="D3" s="15">
        <v>4889</v>
      </c>
    </row>
    <row r="4" spans="1:7" x14ac:dyDescent="0.3">
      <c r="A4" t="s">
        <v>97</v>
      </c>
      <c r="B4" s="7">
        <v>1</v>
      </c>
      <c r="C4" t="s">
        <v>25</v>
      </c>
      <c r="D4" s="15" t="s">
        <v>56</v>
      </c>
    </row>
    <row r="5" spans="1:7" x14ac:dyDescent="0.3">
      <c r="A5" t="s">
        <v>97</v>
      </c>
      <c r="B5" s="7">
        <v>1</v>
      </c>
      <c r="C5" t="s">
        <v>26</v>
      </c>
      <c r="D5" s="15">
        <v>269510</v>
      </c>
    </row>
    <row r="6" spans="1:7" x14ac:dyDescent="0.3">
      <c r="A6" t="s">
        <v>97</v>
      </c>
      <c r="B6" s="7">
        <v>1</v>
      </c>
      <c r="C6" t="s">
        <v>27</v>
      </c>
      <c r="D6" s="15">
        <v>518211</v>
      </c>
    </row>
    <row r="7" spans="1:7" x14ac:dyDescent="0.3">
      <c r="A7" t="s">
        <v>97</v>
      </c>
      <c r="B7" s="7">
        <v>1</v>
      </c>
      <c r="C7" t="s">
        <v>198</v>
      </c>
      <c r="D7" s="15">
        <v>46423</v>
      </c>
    </row>
    <row r="8" spans="1:7" x14ac:dyDescent="0.3">
      <c r="A8" t="s">
        <v>97</v>
      </c>
      <c r="B8" s="7">
        <v>1</v>
      </c>
      <c r="C8" t="s">
        <v>28</v>
      </c>
      <c r="D8" s="15">
        <v>15611</v>
      </c>
    </row>
    <row r="9" spans="1:7" x14ac:dyDescent="0.3">
      <c r="A9" t="s">
        <v>97</v>
      </c>
      <c r="B9" s="7">
        <v>1</v>
      </c>
      <c r="C9" t="s">
        <v>29</v>
      </c>
      <c r="D9" s="15" t="s">
        <v>56</v>
      </c>
    </row>
    <row r="10" spans="1:7" x14ac:dyDescent="0.3">
      <c r="A10" t="s">
        <v>97</v>
      </c>
      <c r="B10" s="7">
        <v>1</v>
      </c>
      <c r="C10" t="s">
        <v>30</v>
      </c>
      <c r="D10" s="15" t="s">
        <v>56</v>
      </c>
    </row>
    <row r="11" spans="1:7" x14ac:dyDescent="0.3">
      <c r="A11" t="s">
        <v>97</v>
      </c>
      <c r="B11" s="7">
        <v>1</v>
      </c>
      <c r="C11" t="s">
        <v>31</v>
      </c>
      <c r="D11" s="15">
        <v>3954682</v>
      </c>
    </row>
    <row r="12" spans="1:7" x14ac:dyDescent="0.3">
      <c r="A12" t="s">
        <v>97</v>
      </c>
      <c r="B12" s="7">
        <v>1</v>
      </c>
      <c r="C12" t="s">
        <v>199</v>
      </c>
      <c r="D12" s="15">
        <v>270472</v>
      </c>
    </row>
    <row r="13" spans="1:7" x14ac:dyDescent="0.3">
      <c r="A13" t="s">
        <v>97</v>
      </c>
      <c r="B13" s="7">
        <v>1</v>
      </c>
      <c r="C13" t="s">
        <v>32</v>
      </c>
      <c r="D13" s="15">
        <v>30</v>
      </c>
    </row>
    <row r="14" spans="1:7" x14ac:dyDescent="0.3">
      <c r="A14" t="s">
        <v>97</v>
      </c>
      <c r="B14" s="7">
        <v>1</v>
      </c>
      <c r="C14" t="s">
        <v>33</v>
      </c>
      <c r="D14" s="15">
        <v>3967</v>
      </c>
    </row>
    <row r="15" spans="1:7" x14ac:dyDescent="0.3">
      <c r="A15" t="s">
        <v>97</v>
      </c>
      <c r="B15" s="7">
        <v>1</v>
      </c>
      <c r="C15" t="s">
        <v>34</v>
      </c>
      <c r="D15" s="15">
        <v>274469</v>
      </c>
    </row>
    <row r="16" spans="1:7" x14ac:dyDescent="0.3">
      <c r="A16" t="s">
        <v>97</v>
      </c>
      <c r="B16" s="7">
        <v>1</v>
      </c>
      <c r="C16" t="s">
        <v>35</v>
      </c>
      <c r="D16" s="15">
        <v>3954682</v>
      </c>
    </row>
    <row r="17" spans="1:4" x14ac:dyDescent="0.3">
      <c r="A17" t="s">
        <v>97</v>
      </c>
      <c r="B17" s="7">
        <v>1</v>
      </c>
      <c r="C17" t="s">
        <v>36</v>
      </c>
      <c r="D17" s="15">
        <v>274469</v>
      </c>
    </row>
    <row r="18" spans="1:4" x14ac:dyDescent="0.3">
      <c r="A18" t="s">
        <v>97</v>
      </c>
      <c r="B18" s="7">
        <v>1</v>
      </c>
      <c r="C18" t="s">
        <v>37</v>
      </c>
      <c r="D18" s="15">
        <v>4229151</v>
      </c>
    </row>
    <row r="19" spans="1:4" x14ac:dyDescent="0.3">
      <c r="A19" t="s">
        <v>97</v>
      </c>
      <c r="B19" s="7">
        <v>1</v>
      </c>
      <c r="C19" t="s">
        <v>38</v>
      </c>
      <c r="D19" s="20">
        <v>0.15459999999999999</v>
      </c>
    </row>
    <row r="20" spans="1:4" x14ac:dyDescent="0.3">
      <c r="A20" t="s">
        <v>97</v>
      </c>
      <c r="B20" s="7">
        <v>1</v>
      </c>
      <c r="C20" t="s">
        <v>39</v>
      </c>
      <c r="D20" s="20">
        <v>0.16539999999999999</v>
      </c>
    </row>
    <row r="21" spans="1:4" x14ac:dyDescent="0.3">
      <c r="A21" t="s">
        <v>97</v>
      </c>
      <c r="B21" s="7">
        <v>1</v>
      </c>
      <c r="C21" t="s">
        <v>194</v>
      </c>
      <c r="D21" s="15">
        <v>23924677</v>
      </c>
    </row>
    <row r="22" spans="1:4" x14ac:dyDescent="0.3">
      <c r="A22" t="s">
        <v>97</v>
      </c>
      <c r="B22" s="7">
        <v>1</v>
      </c>
      <c r="C22" t="s">
        <v>181</v>
      </c>
      <c r="D22" s="15">
        <v>1541647</v>
      </c>
    </row>
    <row r="23" spans="1:4" x14ac:dyDescent="0.3">
      <c r="A23" t="s">
        <v>97</v>
      </c>
      <c r="B23" s="7">
        <v>1</v>
      </c>
      <c r="C23" t="s">
        <v>182</v>
      </c>
      <c r="D23" s="15">
        <v>110123</v>
      </c>
    </row>
    <row r="24" spans="1:4" x14ac:dyDescent="0.3">
      <c r="A24" t="s">
        <v>97</v>
      </c>
      <c r="B24" s="7">
        <v>1</v>
      </c>
      <c r="C24" t="s">
        <v>183</v>
      </c>
      <c r="D24" s="15">
        <v>25576447</v>
      </c>
    </row>
    <row r="25" spans="1:4" x14ac:dyDescent="0.3">
      <c r="A25" t="s">
        <v>97</v>
      </c>
      <c r="B25" s="7">
        <v>1</v>
      </c>
      <c r="C25" t="s">
        <v>184</v>
      </c>
      <c r="D25" s="15">
        <v>4600</v>
      </c>
    </row>
    <row r="26" spans="1:4" x14ac:dyDescent="0.3">
      <c r="A26" t="s">
        <v>97</v>
      </c>
      <c r="B26" s="7">
        <v>1</v>
      </c>
      <c r="C26" t="s">
        <v>185</v>
      </c>
      <c r="D26" s="15" t="s">
        <v>56</v>
      </c>
    </row>
    <row r="27" spans="1:4" x14ac:dyDescent="0.3">
      <c r="A27" t="s">
        <v>97</v>
      </c>
      <c r="B27" s="7">
        <v>1</v>
      </c>
      <c r="C27" t="s">
        <v>186</v>
      </c>
      <c r="D27" s="15">
        <v>7238142</v>
      </c>
    </row>
    <row r="28" spans="1:4" x14ac:dyDescent="0.3">
      <c r="A28" t="s">
        <v>97</v>
      </c>
      <c r="B28" s="7">
        <v>1</v>
      </c>
      <c r="C28" t="s">
        <v>187</v>
      </c>
      <c r="D28" s="15">
        <v>2642301</v>
      </c>
    </row>
    <row r="29" spans="1:4" x14ac:dyDescent="0.3">
      <c r="A29" t="s">
        <v>97</v>
      </c>
      <c r="B29" s="7">
        <v>1</v>
      </c>
      <c r="C29" t="s">
        <v>188</v>
      </c>
      <c r="D29" s="15">
        <v>15508372</v>
      </c>
    </row>
    <row r="30" spans="1:4" x14ac:dyDescent="0.3">
      <c r="A30" t="s">
        <v>97</v>
      </c>
      <c r="B30" s="7">
        <v>1</v>
      </c>
      <c r="C30" t="s">
        <v>189</v>
      </c>
      <c r="D30" s="15">
        <v>3239063</v>
      </c>
    </row>
    <row r="31" spans="1:4" x14ac:dyDescent="0.3">
      <c r="A31" t="s">
        <v>97</v>
      </c>
      <c r="B31" s="7">
        <v>1</v>
      </c>
      <c r="C31" t="s">
        <v>190</v>
      </c>
      <c r="D31" s="15">
        <v>34113</v>
      </c>
    </row>
    <row r="32" spans="1:4" x14ac:dyDescent="0.3">
      <c r="A32" t="s">
        <v>97</v>
      </c>
      <c r="B32" s="7">
        <v>1</v>
      </c>
      <c r="C32" t="s">
        <v>191</v>
      </c>
      <c r="D32" s="15">
        <v>194749</v>
      </c>
    </row>
    <row r="33" spans="1:6" x14ac:dyDescent="0.3">
      <c r="A33" t="s">
        <v>97</v>
      </c>
      <c r="B33" s="7">
        <v>1</v>
      </c>
      <c r="C33" t="s">
        <v>192</v>
      </c>
      <c r="D33" s="15">
        <v>2608023</v>
      </c>
    </row>
    <row r="34" spans="1:6" x14ac:dyDescent="0.3">
      <c r="A34" t="s">
        <v>97</v>
      </c>
      <c r="B34" s="7">
        <v>1</v>
      </c>
      <c r="C34" t="s">
        <v>40</v>
      </c>
      <c r="D34" s="15">
        <v>983573</v>
      </c>
    </row>
    <row r="35" spans="1:6" x14ac:dyDescent="0.3">
      <c r="A35" t="s">
        <v>97</v>
      </c>
      <c r="B35" s="7">
        <v>1</v>
      </c>
      <c r="C35" t="s">
        <v>41</v>
      </c>
      <c r="D35" s="15">
        <v>2139738</v>
      </c>
    </row>
    <row r="36" spans="1:6" x14ac:dyDescent="0.3">
      <c r="A36" t="s">
        <v>97</v>
      </c>
      <c r="B36" s="7">
        <v>1</v>
      </c>
      <c r="C36" t="s">
        <v>193</v>
      </c>
      <c r="D36" s="15">
        <v>927447</v>
      </c>
    </row>
    <row r="37" spans="1:6" x14ac:dyDescent="0.3">
      <c r="A37" t="s">
        <v>97</v>
      </c>
      <c r="B37" s="7">
        <v>1</v>
      </c>
      <c r="C37" t="s">
        <v>194</v>
      </c>
      <c r="D37" s="15">
        <v>23924677</v>
      </c>
    </row>
    <row r="38" spans="1:6" x14ac:dyDescent="0.3">
      <c r="A38" t="s">
        <v>97</v>
      </c>
      <c r="B38" s="7">
        <v>1</v>
      </c>
      <c r="C38" t="s">
        <v>181</v>
      </c>
      <c r="D38" s="15">
        <v>1541647</v>
      </c>
    </row>
    <row r="39" spans="1:6" x14ac:dyDescent="0.3">
      <c r="A39" t="s">
        <v>97</v>
      </c>
      <c r="B39" s="7">
        <v>1</v>
      </c>
      <c r="C39" t="s">
        <v>182</v>
      </c>
      <c r="D39" s="15">
        <v>110123</v>
      </c>
    </row>
    <row r="40" spans="1:6" x14ac:dyDescent="0.3">
      <c r="A40" t="s">
        <v>97</v>
      </c>
      <c r="B40" s="7">
        <v>1</v>
      </c>
      <c r="C40" t="s">
        <v>183</v>
      </c>
      <c r="D40" s="15">
        <v>25576447</v>
      </c>
    </row>
    <row r="41" spans="1:6" x14ac:dyDescent="0.3">
      <c r="A41" t="s">
        <v>97</v>
      </c>
      <c r="B41" s="7">
        <v>1</v>
      </c>
      <c r="C41" t="s">
        <v>21</v>
      </c>
      <c r="D41" s="15">
        <v>4229151.49</v>
      </c>
    </row>
    <row r="42" spans="1:6" x14ac:dyDescent="0.3">
      <c r="A42" t="s">
        <v>97</v>
      </c>
      <c r="B42" s="7">
        <v>1</v>
      </c>
      <c r="C42" t="s">
        <v>22</v>
      </c>
      <c r="D42" s="20">
        <v>0.16539999999999999</v>
      </c>
    </row>
    <row r="43" spans="1:6" x14ac:dyDescent="0.3">
      <c r="A43" s="10" t="s">
        <v>97</v>
      </c>
      <c r="B43" s="7">
        <v>1</v>
      </c>
      <c r="C43" s="10" t="s">
        <v>20</v>
      </c>
      <c r="D43" s="21" t="s">
        <v>57</v>
      </c>
      <c r="E43" s="6" t="s">
        <v>64</v>
      </c>
      <c r="F43" s="6" t="s">
        <v>58</v>
      </c>
    </row>
    <row r="44" spans="1:6" x14ac:dyDescent="0.3">
      <c r="A44" t="s">
        <v>97</v>
      </c>
      <c r="B44" s="7">
        <v>1</v>
      </c>
      <c r="C44" t="s">
        <v>42</v>
      </c>
      <c r="D44" s="15" t="s">
        <v>56</v>
      </c>
      <c r="E44" s="3" t="s">
        <v>56</v>
      </c>
      <c r="F44" s="3" t="s">
        <v>56</v>
      </c>
    </row>
    <row r="45" spans="1:6" x14ac:dyDescent="0.3">
      <c r="A45" t="s">
        <v>97</v>
      </c>
      <c r="B45" s="7">
        <v>1</v>
      </c>
      <c r="C45" t="s">
        <v>43</v>
      </c>
      <c r="D45" s="15">
        <v>145500</v>
      </c>
      <c r="E45" s="3">
        <v>34575</v>
      </c>
      <c r="F45" s="3">
        <v>110925</v>
      </c>
    </row>
    <row r="46" spans="1:6" x14ac:dyDescent="0.3">
      <c r="A46" t="s">
        <v>97</v>
      </c>
      <c r="B46" s="7">
        <v>1</v>
      </c>
      <c r="C46" t="s">
        <v>44</v>
      </c>
      <c r="D46" s="15">
        <v>36925</v>
      </c>
      <c r="E46" s="3">
        <v>16526</v>
      </c>
      <c r="F46" s="3">
        <v>20399</v>
      </c>
    </row>
    <row r="47" spans="1:6" x14ac:dyDescent="0.3">
      <c r="A47" t="s">
        <v>97</v>
      </c>
      <c r="B47" s="7">
        <v>1</v>
      </c>
      <c r="C47" t="s">
        <v>45</v>
      </c>
      <c r="D47" s="15">
        <v>35524</v>
      </c>
      <c r="E47" s="3">
        <v>35524</v>
      </c>
      <c r="F47" s="3" t="s">
        <v>56</v>
      </c>
    </row>
    <row r="48" spans="1:6" x14ac:dyDescent="0.3">
      <c r="A48" t="s">
        <v>97</v>
      </c>
      <c r="B48" s="7">
        <v>1</v>
      </c>
      <c r="C48" t="s">
        <v>195</v>
      </c>
      <c r="D48" s="20">
        <v>8.3000000000000001E-3</v>
      </c>
    </row>
    <row r="49" spans="1:9" x14ac:dyDescent="0.3">
      <c r="A49" t="s">
        <v>97</v>
      </c>
      <c r="B49" s="7">
        <v>1</v>
      </c>
      <c r="C49" t="s">
        <v>196</v>
      </c>
      <c r="D49" s="20">
        <v>7.4999999999999997E-3</v>
      </c>
    </row>
    <row r="50" spans="1:9" ht="31.5" customHeight="1" x14ac:dyDescent="0.3">
      <c r="A50" s="10" t="s">
        <v>97</v>
      </c>
      <c r="B50" s="7">
        <v>1</v>
      </c>
      <c r="C50" s="10" t="s">
        <v>20</v>
      </c>
      <c r="D50" s="22" t="s">
        <v>121</v>
      </c>
      <c r="E50" s="5" t="s">
        <v>65</v>
      </c>
      <c r="F50" s="6" t="s">
        <v>59</v>
      </c>
    </row>
    <row r="51" spans="1:9" x14ac:dyDescent="0.3">
      <c r="A51" t="s">
        <v>97</v>
      </c>
      <c r="B51" s="7">
        <v>1</v>
      </c>
      <c r="C51" t="s">
        <v>42</v>
      </c>
      <c r="D51" s="15" t="s">
        <v>56</v>
      </c>
      <c r="E51" s="3" t="s">
        <v>56</v>
      </c>
      <c r="F51" s="3" t="s">
        <v>56</v>
      </c>
    </row>
    <row r="52" spans="1:9" x14ac:dyDescent="0.3">
      <c r="A52" t="s">
        <v>97</v>
      </c>
      <c r="B52" s="7">
        <v>1</v>
      </c>
      <c r="C52" t="s">
        <v>43</v>
      </c>
      <c r="D52" s="15">
        <v>145500</v>
      </c>
      <c r="E52" s="3">
        <v>54082</v>
      </c>
      <c r="F52" s="3">
        <v>91418</v>
      </c>
      <c r="G52" s="3"/>
    </row>
    <row r="53" spans="1:9" x14ac:dyDescent="0.3">
      <c r="A53" t="s">
        <v>97</v>
      </c>
      <c r="B53" s="7">
        <v>1</v>
      </c>
      <c r="C53" t="s">
        <v>44</v>
      </c>
      <c r="D53" s="15">
        <v>36925</v>
      </c>
      <c r="E53" s="3">
        <v>62016</v>
      </c>
      <c r="F53" s="3">
        <v>-25091</v>
      </c>
      <c r="G53" s="3"/>
    </row>
    <row r="54" spans="1:9" x14ac:dyDescent="0.3">
      <c r="A54" t="s">
        <v>97</v>
      </c>
      <c r="B54" s="7">
        <v>1</v>
      </c>
      <c r="C54" t="s">
        <v>45</v>
      </c>
      <c r="D54" s="15">
        <v>35524</v>
      </c>
      <c r="E54" s="3">
        <v>48126</v>
      </c>
      <c r="F54" s="3">
        <v>-12601</v>
      </c>
      <c r="G54" s="3"/>
    </row>
    <row r="55" spans="1:9" x14ac:dyDescent="0.3">
      <c r="A55" t="s">
        <v>97</v>
      </c>
      <c r="B55" s="7">
        <v>1</v>
      </c>
      <c r="C55" t="s">
        <v>200</v>
      </c>
      <c r="D55" s="15" t="s">
        <v>56</v>
      </c>
      <c r="G55" s="3"/>
    </row>
    <row r="56" spans="1:9" x14ac:dyDescent="0.3">
      <c r="A56" t="s">
        <v>97</v>
      </c>
      <c r="B56" s="7">
        <v>1</v>
      </c>
      <c r="C56" t="s">
        <v>201</v>
      </c>
      <c r="D56" s="15" t="s">
        <v>56</v>
      </c>
      <c r="G56" s="3"/>
    </row>
    <row r="57" spans="1:9" ht="28.8" x14ac:dyDescent="0.3">
      <c r="A57" s="10" t="s">
        <v>97</v>
      </c>
      <c r="B57" s="7">
        <v>1</v>
      </c>
      <c r="C57" s="10" t="s">
        <v>46</v>
      </c>
      <c r="D57" s="22" t="s">
        <v>122</v>
      </c>
      <c r="E57" s="5" t="s">
        <v>66</v>
      </c>
      <c r="F57" s="6" t="s">
        <v>59</v>
      </c>
      <c r="G57" s="8" t="s">
        <v>61</v>
      </c>
    </row>
    <row r="58" spans="1:9" x14ac:dyDescent="0.3">
      <c r="A58" t="s">
        <v>97</v>
      </c>
      <c r="B58" s="7">
        <v>1</v>
      </c>
      <c r="C58" t="s">
        <v>47</v>
      </c>
      <c r="D58" s="15">
        <v>397083</v>
      </c>
      <c r="E58" s="3">
        <v>361781</v>
      </c>
      <c r="F58" s="3">
        <v>35302</v>
      </c>
      <c r="G58" s="4">
        <v>9.7600000000000006E-2</v>
      </c>
      <c r="I58" s="16"/>
    </row>
    <row r="59" spans="1:9" x14ac:dyDescent="0.3">
      <c r="A59" t="s">
        <v>97</v>
      </c>
      <c r="B59" s="7">
        <v>1</v>
      </c>
      <c r="C59" t="s">
        <v>48</v>
      </c>
      <c r="D59" s="15">
        <v>261304</v>
      </c>
      <c r="E59" s="3">
        <v>110805</v>
      </c>
      <c r="F59" s="3">
        <v>150498</v>
      </c>
      <c r="G59" s="4">
        <v>1.3582000000000001</v>
      </c>
    </row>
    <row r="60" spans="1:9" x14ac:dyDescent="0.3">
      <c r="A60" t="s">
        <v>97</v>
      </c>
      <c r="B60" s="7">
        <v>1</v>
      </c>
      <c r="C60" t="s">
        <v>49</v>
      </c>
      <c r="D60" s="15" t="s">
        <v>56</v>
      </c>
    </row>
    <row r="61" spans="1:9" x14ac:dyDescent="0.3">
      <c r="A61" t="s">
        <v>97</v>
      </c>
      <c r="B61" s="7">
        <v>1</v>
      </c>
      <c r="C61" t="s">
        <v>50</v>
      </c>
      <c r="D61" s="15">
        <v>998575</v>
      </c>
    </row>
    <row r="62" spans="1:9" x14ac:dyDescent="0.3">
      <c r="A62" t="s">
        <v>97</v>
      </c>
      <c r="B62" s="7">
        <v>1</v>
      </c>
      <c r="C62" t="s">
        <v>51</v>
      </c>
      <c r="D62" s="15">
        <v>580076</v>
      </c>
    </row>
    <row r="63" spans="1:9" x14ac:dyDescent="0.3">
      <c r="A63" t="s">
        <v>97</v>
      </c>
      <c r="B63" s="7">
        <v>1</v>
      </c>
      <c r="C63" t="s">
        <v>52</v>
      </c>
      <c r="D63" s="15">
        <v>1578651</v>
      </c>
    </row>
    <row r="64" spans="1:9" x14ac:dyDescent="0.3">
      <c r="A64" t="s">
        <v>114</v>
      </c>
      <c r="B64" s="7">
        <v>2</v>
      </c>
      <c r="C64" t="s">
        <v>197</v>
      </c>
      <c r="D64" s="15">
        <v>3495293</v>
      </c>
    </row>
    <row r="65" spans="1:4" x14ac:dyDescent="0.3">
      <c r="A65" t="s">
        <v>114</v>
      </c>
      <c r="B65" s="7">
        <v>2</v>
      </c>
      <c r="C65" t="s">
        <v>24</v>
      </c>
      <c r="D65" s="15" t="s">
        <v>56</v>
      </c>
    </row>
    <row r="66" spans="1:4" x14ac:dyDescent="0.3">
      <c r="A66" t="s">
        <v>114</v>
      </c>
      <c r="B66" s="7">
        <v>2</v>
      </c>
      <c r="C66" t="s">
        <v>25</v>
      </c>
      <c r="D66" s="15" t="s">
        <v>56</v>
      </c>
    </row>
    <row r="67" spans="1:4" x14ac:dyDescent="0.3">
      <c r="A67" t="s">
        <v>114</v>
      </c>
      <c r="B67" s="7">
        <v>2</v>
      </c>
      <c r="C67" t="s">
        <v>26</v>
      </c>
      <c r="D67" s="15">
        <v>378093</v>
      </c>
    </row>
    <row r="68" spans="1:4" x14ac:dyDescent="0.3">
      <c r="A68" t="s">
        <v>114</v>
      </c>
      <c r="B68" s="7">
        <v>2</v>
      </c>
      <c r="C68" t="s">
        <v>27</v>
      </c>
      <c r="D68" s="15">
        <v>6557</v>
      </c>
    </row>
    <row r="69" spans="1:4" x14ac:dyDescent="0.3">
      <c r="A69" t="s">
        <v>114</v>
      </c>
      <c r="B69" s="7">
        <v>2</v>
      </c>
      <c r="C69" t="s">
        <v>198</v>
      </c>
      <c r="D69" s="15">
        <v>280835</v>
      </c>
    </row>
    <row r="70" spans="1:4" x14ac:dyDescent="0.3">
      <c r="A70" t="s">
        <v>114</v>
      </c>
      <c r="B70" s="7">
        <v>2</v>
      </c>
      <c r="C70" t="s">
        <v>28</v>
      </c>
      <c r="D70" s="15">
        <v>15611</v>
      </c>
    </row>
    <row r="71" spans="1:4" x14ac:dyDescent="0.3">
      <c r="A71" t="s">
        <v>114</v>
      </c>
      <c r="B71" s="7">
        <v>2</v>
      </c>
      <c r="C71" t="s">
        <v>29</v>
      </c>
      <c r="D71" s="15" t="s">
        <v>56</v>
      </c>
    </row>
    <row r="72" spans="1:4" x14ac:dyDescent="0.3">
      <c r="A72" t="s">
        <v>114</v>
      </c>
      <c r="B72" s="7">
        <v>2</v>
      </c>
      <c r="C72" t="s">
        <v>30</v>
      </c>
      <c r="D72" s="15" t="s">
        <v>56</v>
      </c>
    </row>
    <row r="73" spans="1:4" x14ac:dyDescent="0.3">
      <c r="A73" t="s">
        <v>114</v>
      </c>
      <c r="B73" s="7">
        <v>2</v>
      </c>
      <c r="C73" t="s">
        <v>31</v>
      </c>
      <c r="D73" s="15">
        <v>4176389</v>
      </c>
    </row>
    <row r="74" spans="1:4" x14ac:dyDescent="0.3">
      <c r="A74" t="s">
        <v>114</v>
      </c>
      <c r="B74" s="7">
        <v>2</v>
      </c>
      <c r="C74" t="s">
        <v>199</v>
      </c>
      <c r="D74" s="15">
        <v>331514</v>
      </c>
    </row>
    <row r="75" spans="1:4" x14ac:dyDescent="0.3">
      <c r="A75" t="s">
        <v>114</v>
      </c>
      <c r="B75" s="7">
        <v>2</v>
      </c>
      <c r="C75" t="s">
        <v>32</v>
      </c>
      <c r="D75" s="15">
        <v>1997</v>
      </c>
    </row>
    <row r="76" spans="1:4" x14ac:dyDescent="0.3">
      <c r="A76" t="s">
        <v>114</v>
      </c>
      <c r="B76" s="7">
        <v>2</v>
      </c>
      <c r="C76" t="s">
        <v>33</v>
      </c>
      <c r="D76" s="15">
        <v>300</v>
      </c>
    </row>
    <row r="77" spans="1:4" x14ac:dyDescent="0.3">
      <c r="A77" t="s">
        <v>114</v>
      </c>
      <c r="B77" s="7">
        <v>2</v>
      </c>
      <c r="C77" t="s">
        <v>34</v>
      </c>
      <c r="D77" s="15">
        <v>333811</v>
      </c>
    </row>
    <row r="78" spans="1:4" x14ac:dyDescent="0.3">
      <c r="A78" t="s">
        <v>114</v>
      </c>
      <c r="B78" s="7">
        <v>2</v>
      </c>
      <c r="C78" t="s">
        <v>35</v>
      </c>
      <c r="D78" s="15">
        <v>4176389</v>
      </c>
    </row>
    <row r="79" spans="1:4" x14ac:dyDescent="0.3">
      <c r="A79" t="s">
        <v>114</v>
      </c>
      <c r="B79" s="7">
        <v>2</v>
      </c>
      <c r="C79" t="s">
        <v>36</v>
      </c>
      <c r="D79" s="15">
        <v>333811</v>
      </c>
    </row>
    <row r="80" spans="1:4" x14ac:dyDescent="0.3">
      <c r="A80" t="s">
        <v>114</v>
      </c>
      <c r="B80" s="7">
        <v>2</v>
      </c>
      <c r="C80" t="s">
        <v>37</v>
      </c>
      <c r="D80" s="15">
        <v>4510199</v>
      </c>
    </row>
    <row r="81" spans="1:4" x14ac:dyDescent="0.3">
      <c r="A81" t="s">
        <v>114</v>
      </c>
      <c r="B81" s="7">
        <v>2</v>
      </c>
      <c r="C81" t="s">
        <v>38</v>
      </c>
      <c r="D81" s="20">
        <v>0.1575</v>
      </c>
    </row>
    <row r="82" spans="1:4" x14ac:dyDescent="0.3">
      <c r="A82" t="s">
        <v>114</v>
      </c>
      <c r="B82" s="7">
        <v>2</v>
      </c>
      <c r="C82" t="s">
        <v>39</v>
      </c>
      <c r="D82" s="20">
        <v>0.1701</v>
      </c>
    </row>
    <row r="83" spans="1:4" x14ac:dyDescent="0.3">
      <c r="A83" t="s">
        <v>114</v>
      </c>
      <c r="B83" s="7">
        <v>2</v>
      </c>
      <c r="C83" t="s">
        <v>194</v>
      </c>
      <c r="D83" s="15">
        <v>24912092</v>
      </c>
    </row>
    <row r="84" spans="1:4" x14ac:dyDescent="0.3">
      <c r="A84" t="s">
        <v>114</v>
      </c>
      <c r="B84" s="7">
        <v>2</v>
      </c>
      <c r="C84" t="s">
        <v>181</v>
      </c>
      <c r="D84" s="15">
        <v>1541647</v>
      </c>
    </row>
    <row r="85" spans="1:4" x14ac:dyDescent="0.3">
      <c r="A85" t="s">
        <v>114</v>
      </c>
      <c r="B85" s="7">
        <v>2</v>
      </c>
      <c r="C85" t="s">
        <v>182</v>
      </c>
      <c r="D85" s="15">
        <v>67342</v>
      </c>
    </row>
    <row r="86" spans="1:4" x14ac:dyDescent="0.3">
      <c r="A86" t="s">
        <v>114</v>
      </c>
      <c r="B86" s="7">
        <v>2</v>
      </c>
      <c r="C86" t="s">
        <v>183</v>
      </c>
      <c r="D86" s="15">
        <v>26521081</v>
      </c>
    </row>
    <row r="87" spans="1:4" x14ac:dyDescent="0.3">
      <c r="A87" t="s">
        <v>114</v>
      </c>
      <c r="B87" s="7">
        <v>2</v>
      </c>
      <c r="C87" t="s">
        <v>184</v>
      </c>
      <c r="D87" s="15">
        <v>4600</v>
      </c>
    </row>
    <row r="88" spans="1:4" x14ac:dyDescent="0.3">
      <c r="A88" t="s">
        <v>114</v>
      </c>
      <c r="B88" s="7">
        <v>2</v>
      </c>
      <c r="C88" t="s">
        <v>185</v>
      </c>
      <c r="D88" s="15" t="s">
        <v>56</v>
      </c>
    </row>
    <row r="89" spans="1:4" x14ac:dyDescent="0.3">
      <c r="A89" t="s">
        <v>114</v>
      </c>
      <c r="B89" s="7">
        <v>2</v>
      </c>
      <c r="C89" t="s">
        <v>186</v>
      </c>
      <c r="D89" s="15">
        <v>9248674</v>
      </c>
    </row>
    <row r="90" spans="1:4" x14ac:dyDescent="0.3">
      <c r="A90" t="s">
        <v>114</v>
      </c>
      <c r="B90" s="7">
        <v>2</v>
      </c>
      <c r="C90" t="s">
        <v>187</v>
      </c>
      <c r="D90" s="15">
        <v>4043934</v>
      </c>
    </row>
    <row r="91" spans="1:4" x14ac:dyDescent="0.3">
      <c r="A91" t="s">
        <v>114</v>
      </c>
      <c r="B91" s="7">
        <v>2</v>
      </c>
      <c r="C91" t="s">
        <v>188</v>
      </c>
      <c r="D91" s="15">
        <v>17856587</v>
      </c>
    </row>
    <row r="92" spans="1:4" x14ac:dyDescent="0.3">
      <c r="A92" t="s">
        <v>114</v>
      </c>
      <c r="B92" s="7">
        <v>2</v>
      </c>
      <c r="C92" t="s">
        <v>189</v>
      </c>
      <c r="D92" s="15">
        <v>2721470</v>
      </c>
    </row>
    <row r="93" spans="1:4" x14ac:dyDescent="0.3">
      <c r="A93" t="s">
        <v>114</v>
      </c>
      <c r="B93" s="7">
        <v>2</v>
      </c>
      <c r="C93" t="s">
        <v>190</v>
      </c>
      <c r="D93" s="15">
        <v>6880</v>
      </c>
    </row>
    <row r="94" spans="1:4" x14ac:dyDescent="0.3">
      <c r="A94" t="s">
        <v>114</v>
      </c>
      <c r="B94" s="7">
        <v>2</v>
      </c>
      <c r="C94" t="s">
        <v>191</v>
      </c>
      <c r="D94" s="15">
        <v>201810</v>
      </c>
    </row>
    <row r="95" spans="1:4" x14ac:dyDescent="0.3">
      <c r="A95" t="s">
        <v>114</v>
      </c>
      <c r="B95" s="7">
        <v>2</v>
      </c>
      <c r="C95" t="s">
        <v>192</v>
      </c>
      <c r="D95" s="15">
        <v>1206930</v>
      </c>
    </row>
    <row r="96" spans="1:4" x14ac:dyDescent="0.3">
      <c r="A96" t="s">
        <v>114</v>
      </c>
      <c r="B96" s="7">
        <v>2</v>
      </c>
      <c r="C96" t="s">
        <v>40</v>
      </c>
      <c r="D96" s="15">
        <v>731099</v>
      </c>
    </row>
    <row r="97" spans="1:6" x14ac:dyDescent="0.3">
      <c r="A97" t="s">
        <v>114</v>
      </c>
      <c r="B97" s="7">
        <v>2</v>
      </c>
      <c r="C97" t="s">
        <v>41</v>
      </c>
      <c r="D97" s="15">
        <v>2302642</v>
      </c>
    </row>
    <row r="98" spans="1:6" x14ac:dyDescent="0.3">
      <c r="A98" t="s">
        <v>114</v>
      </c>
      <c r="B98" s="7">
        <v>2</v>
      </c>
      <c r="C98" t="s">
        <v>193</v>
      </c>
      <c r="D98" s="15">
        <v>838308</v>
      </c>
    </row>
    <row r="99" spans="1:6" x14ac:dyDescent="0.3">
      <c r="A99" t="s">
        <v>114</v>
      </c>
      <c r="B99" s="7">
        <v>2</v>
      </c>
      <c r="C99" t="s">
        <v>194</v>
      </c>
      <c r="D99" s="15">
        <v>24912092</v>
      </c>
    </row>
    <row r="100" spans="1:6" x14ac:dyDescent="0.3">
      <c r="A100" t="s">
        <v>114</v>
      </c>
      <c r="B100" s="7">
        <v>2</v>
      </c>
      <c r="C100" t="s">
        <v>181</v>
      </c>
      <c r="D100" s="15">
        <v>1541647</v>
      </c>
    </row>
    <row r="101" spans="1:6" x14ac:dyDescent="0.3">
      <c r="A101" t="s">
        <v>114</v>
      </c>
      <c r="B101" s="7">
        <v>2</v>
      </c>
      <c r="C101" t="s">
        <v>182</v>
      </c>
      <c r="D101" s="15">
        <v>67342</v>
      </c>
    </row>
    <row r="102" spans="1:6" x14ac:dyDescent="0.3">
      <c r="A102" t="s">
        <v>114</v>
      </c>
      <c r="B102" s="7">
        <v>2</v>
      </c>
      <c r="C102" t="s">
        <v>183</v>
      </c>
      <c r="D102" s="15">
        <v>26521081</v>
      </c>
    </row>
    <row r="103" spans="1:6" x14ac:dyDescent="0.3">
      <c r="A103" t="s">
        <v>114</v>
      </c>
      <c r="B103" s="7">
        <v>2</v>
      </c>
      <c r="C103" t="s">
        <v>21</v>
      </c>
      <c r="D103" s="15">
        <v>4510199.5</v>
      </c>
    </row>
    <row r="104" spans="1:6" x14ac:dyDescent="0.3">
      <c r="A104" t="s">
        <v>114</v>
      </c>
      <c r="B104" s="7">
        <v>2</v>
      </c>
      <c r="C104" t="s">
        <v>22</v>
      </c>
      <c r="D104" s="20">
        <v>0.1701</v>
      </c>
    </row>
    <row r="105" spans="1:6" x14ac:dyDescent="0.3">
      <c r="A105" s="10" t="s">
        <v>114</v>
      </c>
      <c r="B105" s="7">
        <v>2</v>
      </c>
      <c r="C105" s="10" t="s">
        <v>20</v>
      </c>
      <c r="D105" s="21" t="s">
        <v>57</v>
      </c>
      <c r="E105" s="6" t="s">
        <v>64</v>
      </c>
      <c r="F105" s="6" t="s">
        <v>58</v>
      </c>
    </row>
    <row r="106" spans="1:6" x14ac:dyDescent="0.3">
      <c r="A106" t="s">
        <v>114</v>
      </c>
      <c r="B106" s="7">
        <v>2</v>
      </c>
      <c r="C106" t="s">
        <v>42</v>
      </c>
      <c r="D106" s="15">
        <v>9638</v>
      </c>
      <c r="E106" s="3">
        <v>1205</v>
      </c>
      <c r="F106" s="3" t="s">
        <v>56</v>
      </c>
    </row>
    <row r="107" spans="1:6" x14ac:dyDescent="0.3">
      <c r="A107" t="s">
        <v>114</v>
      </c>
      <c r="B107" s="7">
        <v>2</v>
      </c>
      <c r="C107" t="s">
        <v>43</v>
      </c>
      <c r="D107" s="15">
        <v>109171</v>
      </c>
      <c r="E107" s="3">
        <v>23872</v>
      </c>
      <c r="F107" s="3">
        <v>85298</v>
      </c>
    </row>
    <row r="108" spans="1:6" x14ac:dyDescent="0.3">
      <c r="A108" t="s">
        <v>114</v>
      </c>
      <c r="B108" s="7">
        <v>2</v>
      </c>
      <c r="C108" t="s">
        <v>44</v>
      </c>
      <c r="D108" s="15">
        <v>51283</v>
      </c>
      <c r="E108" s="3">
        <v>21217</v>
      </c>
      <c r="F108" s="3">
        <v>30065</v>
      </c>
    </row>
    <row r="109" spans="1:6" x14ac:dyDescent="0.3">
      <c r="A109" t="s">
        <v>114</v>
      </c>
      <c r="B109" s="7">
        <v>2</v>
      </c>
      <c r="C109" t="s">
        <v>45</v>
      </c>
      <c r="D109" s="15">
        <v>55975</v>
      </c>
      <c r="E109" s="3">
        <v>54469</v>
      </c>
      <c r="F109" s="3">
        <v>1507</v>
      </c>
    </row>
    <row r="110" spans="1:6" x14ac:dyDescent="0.3">
      <c r="A110" t="s">
        <v>114</v>
      </c>
      <c r="B110" s="7">
        <v>2</v>
      </c>
      <c r="C110" t="s">
        <v>195</v>
      </c>
      <c r="D110" s="20">
        <v>8.0000000000000002E-3</v>
      </c>
    </row>
    <row r="111" spans="1:6" x14ac:dyDescent="0.3">
      <c r="A111" t="s">
        <v>114</v>
      </c>
      <c r="B111" s="7">
        <v>2</v>
      </c>
      <c r="C111" t="s">
        <v>196</v>
      </c>
      <c r="D111" s="20">
        <v>4.1999999999999997E-3</v>
      </c>
    </row>
    <row r="112" spans="1:6" ht="57.6" x14ac:dyDescent="0.3">
      <c r="A112" s="10" t="s">
        <v>114</v>
      </c>
      <c r="B112" s="7">
        <v>2</v>
      </c>
      <c r="C112" s="10" t="s">
        <v>20</v>
      </c>
      <c r="D112" s="22" t="s">
        <v>148</v>
      </c>
      <c r="E112" s="5" t="s">
        <v>92</v>
      </c>
      <c r="F112" s="6" t="s">
        <v>59</v>
      </c>
    </row>
    <row r="113" spans="1:7" x14ac:dyDescent="0.3">
      <c r="A113" t="s">
        <v>114</v>
      </c>
      <c r="B113" s="7">
        <v>2</v>
      </c>
      <c r="C113" t="s">
        <v>42</v>
      </c>
      <c r="D113" s="15">
        <v>9638</v>
      </c>
      <c r="E113" s="3" t="s">
        <v>56</v>
      </c>
      <c r="F113" s="3">
        <v>9638</v>
      </c>
    </row>
    <row r="114" spans="1:7" x14ac:dyDescent="0.3">
      <c r="A114" t="s">
        <v>114</v>
      </c>
      <c r="B114" s="7">
        <v>2</v>
      </c>
      <c r="C114" t="s">
        <v>43</v>
      </c>
      <c r="D114" s="15">
        <v>109171</v>
      </c>
      <c r="E114" s="3">
        <v>145500</v>
      </c>
      <c r="F114" s="3">
        <v>-36329</v>
      </c>
    </row>
    <row r="115" spans="1:7" x14ac:dyDescent="0.3">
      <c r="A115" t="s">
        <v>114</v>
      </c>
      <c r="B115" s="7">
        <v>2</v>
      </c>
      <c r="C115" t="s">
        <v>44</v>
      </c>
      <c r="D115" s="15">
        <v>51283</v>
      </c>
      <c r="E115" s="3">
        <v>36925</v>
      </c>
      <c r="F115" s="3">
        <v>14358</v>
      </c>
    </row>
    <row r="116" spans="1:7" x14ac:dyDescent="0.3">
      <c r="A116" t="s">
        <v>114</v>
      </c>
      <c r="B116" s="7">
        <v>2</v>
      </c>
      <c r="C116" t="s">
        <v>45</v>
      </c>
      <c r="D116" s="15">
        <v>55975</v>
      </c>
      <c r="E116" s="3">
        <v>35524</v>
      </c>
      <c r="F116" s="3">
        <v>20451</v>
      </c>
    </row>
    <row r="117" spans="1:7" x14ac:dyDescent="0.3">
      <c r="A117" t="s">
        <v>114</v>
      </c>
      <c r="B117" s="7">
        <v>2</v>
      </c>
      <c r="C117" t="s">
        <v>200</v>
      </c>
      <c r="D117" s="15" t="s">
        <v>56</v>
      </c>
    </row>
    <row r="118" spans="1:7" x14ac:dyDescent="0.3">
      <c r="A118" t="s">
        <v>114</v>
      </c>
      <c r="B118" s="7">
        <v>2</v>
      </c>
      <c r="C118" t="s">
        <v>201</v>
      </c>
      <c r="D118" s="15" t="s">
        <v>56</v>
      </c>
    </row>
    <row r="119" spans="1:7" ht="57.6" x14ac:dyDescent="0.3">
      <c r="A119" s="10" t="s">
        <v>114</v>
      </c>
      <c r="B119" s="7">
        <v>2</v>
      </c>
      <c r="C119" s="10" t="s">
        <v>46</v>
      </c>
      <c r="D119" s="22" t="s">
        <v>149</v>
      </c>
      <c r="E119" s="5" t="s">
        <v>92</v>
      </c>
      <c r="F119" s="6" t="s">
        <v>59</v>
      </c>
      <c r="G119" s="8" t="s">
        <v>61</v>
      </c>
    </row>
    <row r="120" spans="1:7" x14ac:dyDescent="0.3">
      <c r="A120" t="s">
        <v>114</v>
      </c>
      <c r="B120" s="7">
        <v>2</v>
      </c>
      <c r="C120" t="s">
        <v>47</v>
      </c>
      <c r="D120" s="15">
        <v>440247</v>
      </c>
      <c r="E120" s="3">
        <v>397083</v>
      </c>
      <c r="F120" s="3">
        <v>43164</v>
      </c>
      <c r="G120" s="4">
        <v>0.1087</v>
      </c>
    </row>
    <row r="121" spans="1:7" x14ac:dyDescent="0.3">
      <c r="A121" t="s">
        <v>114</v>
      </c>
      <c r="B121" s="7">
        <v>2</v>
      </c>
      <c r="C121" t="s">
        <v>48</v>
      </c>
      <c r="D121" s="15">
        <v>196848</v>
      </c>
      <c r="E121" s="3">
        <v>261304</v>
      </c>
      <c r="F121" s="3">
        <v>-64456</v>
      </c>
      <c r="G121" s="4">
        <v>-0.2467</v>
      </c>
    </row>
    <row r="122" spans="1:7" x14ac:dyDescent="0.3">
      <c r="A122" t="s">
        <v>114</v>
      </c>
      <c r="B122" s="7">
        <v>2</v>
      </c>
      <c r="C122" t="s">
        <v>49</v>
      </c>
      <c r="D122" s="3" t="s">
        <v>56</v>
      </c>
    </row>
    <row r="123" spans="1:7" x14ac:dyDescent="0.3">
      <c r="A123" t="s">
        <v>114</v>
      </c>
      <c r="B123" s="7">
        <v>2</v>
      </c>
      <c r="C123" t="s">
        <v>50</v>
      </c>
      <c r="D123" s="15">
        <v>998575</v>
      </c>
    </row>
    <row r="124" spans="1:7" x14ac:dyDescent="0.3">
      <c r="A124" t="s">
        <v>114</v>
      </c>
      <c r="B124" s="7">
        <v>2</v>
      </c>
      <c r="C124" t="s">
        <v>51</v>
      </c>
      <c r="D124" s="15">
        <v>590360</v>
      </c>
    </row>
    <row r="125" spans="1:7" x14ac:dyDescent="0.3">
      <c r="A125" t="s">
        <v>114</v>
      </c>
      <c r="B125" s="7">
        <v>2</v>
      </c>
      <c r="C125" t="s">
        <v>52</v>
      </c>
      <c r="D125" s="15">
        <v>1588934</v>
      </c>
    </row>
    <row r="126" spans="1:7" x14ac:dyDescent="0.3">
      <c r="A126" t="s">
        <v>111</v>
      </c>
      <c r="B126" s="7">
        <v>3</v>
      </c>
      <c r="C126" t="s">
        <v>197</v>
      </c>
      <c r="D126" s="15">
        <v>3495293</v>
      </c>
    </row>
    <row r="127" spans="1:7" x14ac:dyDescent="0.3">
      <c r="A127" t="s">
        <v>111</v>
      </c>
      <c r="B127" s="7">
        <v>3</v>
      </c>
      <c r="C127" t="s">
        <v>24</v>
      </c>
      <c r="D127" s="3" t="s">
        <v>56</v>
      </c>
    </row>
    <row r="128" spans="1:7" x14ac:dyDescent="0.3">
      <c r="A128" t="s">
        <v>111</v>
      </c>
      <c r="B128" s="7">
        <v>3</v>
      </c>
      <c r="C128" t="s">
        <v>25</v>
      </c>
      <c r="D128" s="3" t="s">
        <v>56</v>
      </c>
    </row>
    <row r="129" spans="1:4" x14ac:dyDescent="0.3">
      <c r="A129" t="s">
        <v>111</v>
      </c>
      <c r="B129" s="7">
        <v>3</v>
      </c>
      <c r="C129" t="s">
        <v>26</v>
      </c>
      <c r="D129" s="15">
        <v>378093</v>
      </c>
    </row>
    <row r="130" spans="1:4" x14ac:dyDescent="0.3">
      <c r="A130" t="s">
        <v>111</v>
      </c>
      <c r="B130" s="7">
        <v>3</v>
      </c>
      <c r="C130" t="s">
        <v>27</v>
      </c>
      <c r="D130" s="15">
        <v>6557</v>
      </c>
    </row>
    <row r="131" spans="1:4" x14ac:dyDescent="0.3">
      <c r="A131" t="s">
        <v>111</v>
      </c>
      <c r="B131" s="7">
        <v>3</v>
      </c>
      <c r="C131" t="s">
        <v>198</v>
      </c>
      <c r="D131" s="15">
        <v>436007</v>
      </c>
    </row>
    <row r="132" spans="1:4" x14ac:dyDescent="0.3">
      <c r="A132" t="s">
        <v>111</v>
      </c>
      <c r="B132" s="7">
        <v>3</v>
      </c>
      <c r="C132" t="s">
        <v>28</v>
      </c>
      <c r="D132" s="15">
        <v>15611</v>
      </c>
    </row>
    <row r="133" spans="1:4" x14ac:dyDescent="0.3">
      <c r="A133" t="s">
        <v>111</v>
      </c>
      <c r="B133" s="7">
        <v>3</v>
      </c>
      <c r="C133" t="s">
        <v>29</v>
      </c>
      <c r="D133" s="15" t="s">
        <v>56</v>
      </c>
    </row>
    <row r="134" spans="1:4" x14ac:dyDescent="0.3">
      <c r="A134" t="s">
        <v>111</v>
      </c>
      <c r="B134" s="7">
        <v>3</v>
      </c>
      <c r="C134" t="s">
        <v>55</v>
      </c>
      <c r="D134" s="15">
        <v>-10000</v>
      </c>
    </row>
    <row r="135" spans="1:4" x14ac:dyDescent="0.3">
      <c r="A135" t="s">
        <v>111</v>
      </c>
      <c r="B135" s="7">
        <v>3</v>
      </c>
      <c r="C135" t="s">
        <v>31</v>
      </c>
      <c r="D135" s="15">
        <v>4321561</v>
      </c>
    </row>
    <row r="136" spans="1:4" x14ac:dyDescent="0.3">
      <c r="A136" t="s">
        <v>111</v>
      </c>
      <c r="B136" s="7">
        <v>3</v>
      </c>
      <c r="C136" t="s">
        <v>199</v>
      </c>
      <c r="D136" s="15">
        <v>343426</v>
      </c>
    </row>
    <row r="137" spans="1:4" x14ac:dyDescent="0.3">
      <c r="A137" t="s">
        <v>111</v>
      </c>
      <c r="B137" s="7">
        <v>3</v>
      </c>
      <c r="C137" t="s">
        <v>32</v>
      </c>
      <c r="D137" s="15">
        <v>1997</v>
      </c>
    </row>
    <row r="138" spans="1:4" x14ac:dyDescent="0.3">
      <c r="A138" t="s">
        <v>111</v>
      </c>
      <c r="B138" s="7">
        <v>3</v>
      </c>
      <c r="C138" t="s">
        <v>33</v>
      </c>
      <c r="D138" s="15">
        <v>300</v>
      </c>
    </row>
    <row r="139" spans="1:4" x14ac:dyDescent="0.3">
      <c r="A139" t="s">
        <v>111</v>
      </c>
      <c r="B139" s="7">
        <v>3</v>
      </c>
      <c r="C139" t="s">
        <v>34</v>
      </c>
      <c r="D139" s="15">
        <v>345723</v>
      </c>
    </row>
    <row r="140" spans="1:4" x14ac:dyDescent="0.3">
      <c r="A140" t="s">
        <v>111</v>
      </c>
      <c r="B140" s="7">
        <v>3</v>
      </c>
      <c r="C140" t="s">
        <v>35</v>
      </c>
      <c r="D140" s="15">
        <v>4321561</v>
      </c>
    </row>
    <row r="141" spans="1:4" x14ac:dyDescent="0.3">
      <c r="A141" t="s">
        <v>111</v>
      </c>
      <c r="B141" s="7">
        <v>3</v>
      </c>
      <c r="C141" t="s">
        <v>36</v>
      </c>
      <c r="D141" s="15">
        <v>345723</v>
      </c>
    </row>
    <row r="142" spans="1:4" x14ac:dyDescent="0.3">
      <c r="A142" t="s">
        <v>111</v>
      </c>
      <c r="B142" s="7">
        <v>3</v>
      </c>
      <c r="C142" t="s">
        <v>37</v>
      </c>
      <c r="D142" s="15">
        <v>4667284</v>
      </c>
    </row>
    <row r="143" spans="1:4" x14ac:dyDescent="0.3">
      <c r="A143" t="s">
        <v>111</v>
      </c>
      <c r="B143" s="7">
        <v>3</v>
      </c>
      <c r="C143" t="s">
        <v>38</v>
      </c>
      <c r="D143" s="20">
        <v>0.1434</v>
      </c>
    </row>
    <row r="144" spans="1:4" x14ac:dyDescent="0.3">
      <c r="A144" t="s">
        <v>111</v>
      </c>
      <c r="B144" s="7">
        <v>3</v>
      </c>
      <c r="C144" t="s">
        <v>39</v>
      </c>
      <c r="D144" s="20">
        <v>0.15490000000000001</v>
      </c>
    </row>
    <row r="145" spans="1:4" x14ac:dyDescent="0.3">
      <c r="A145" t="s">
        <v>111</v>
      </c>
      <c r="B145" s="7">
        <v>3</v>
      </c>
      <c r="C145" t="s">
        <v>194</v>
      </c>
      <c r="D145" s="15">
        <v>25849994</v>
      </c>
    </row>
    <row r="146" spans="1:4" x14ac:dyDescent="0.3">
      <c r="A146" t="s">
        <v>111</v>
      </c>
      <c r="B146" s="7">
        <v>3</v>
      </c>
      <c r="C146" t="s">
        <v>181</v>
      </c>
      <c r="D146" s="15">
        <v>1541647</v>
      </c>
    </row>
    <row r="147" spans="1:4" x14ac:dyDescent="0.3">
      <c r="A147" t="s">
        <v>111</v>
      </c>
      <c r="B147" s="7">
        <v>3</v>
      </c>
      <c r="C147" t="s">
        <v>182</v>
      </c>
      <c r="D147" s="15">
        <v>48677</v>
      </c>
    </row>
    <row r="148" spans="1:4" x14ac:dyDescent="0.3">
      <c r="A148" t="s">
        <v>111</v>
      </c>
      <c r="B148" s="7">
        <v>3</v>
      </c>
      <c r="C148" t="s">
        <v>202</v>
      </c>
      <c r="D148" s="15">
        <v>2695653</v>
      </c>
    </row>
    <row r="149" spans="1:4" x14ac:dyDescent="0.3">
      <c r="A149" t="s">
        <v>111</v>
      </c>
      <c r="B149" s="7">
        <v>3</v>
      </c>
      <c r="C149" t="s">
        <v>184</v>
      </c>
      <c r="D149" s="15">
        <v>4600</v>
      </c>
    </row>
    <row r="150" spans="1:4" x14ac:dyDescent="0.3">
      <c r="A150" t="s">
        <v>111</v>
      </c>
      <c r="B150" s="7">
        <v>3</v>
      </c>
      <c r="C150" t="s">
        <v>185</v>
      </c>
      <c r="D150" s="3" t="s">
        <v>56</v>
      </c>
    </row>
    <row r="151" spans="1:4" x14ac:dyDescent="0.3">
      <c r="A151" t="s">
        <v>111</v>
      </c>
      <c r="B151" s="7">
        <v>3</v>
      </c>
      <c r="C151" t="s">
        <v>186</v>
      </c>
      <c r="D151" s="15">
        <v>7528957</v>
      </c>
    </row>
    <row r="152" spans="1:4" x14ac:dyDescent="0.3">
      <c r="A152" t="s">
        <v>111</v>
      </c>
      <c r="B152" s="7">
        <v>3</v>
      </c>
      <c r="C152" t="s">
        <v>187</v>
      </c>
      <c r="D152" s="15">
        <v>3915702</v>
      </c>
    </row>
    <row r="153" spans="1:4" x14ac:dyDescent="0.3">
      <c r="A153" t="s">
        <v>111</v>
      </c>
      <c r="B153" s="7">
        <v>3</v>
      </c>
      <c r="C153" t="s">
        <v>188</v>
      </c>
      <c r="D153" s="15">
        <v>17782799</v>
      </c>
    </row>
    <row r="154" spans="1:4" x14ac:dyDescent="0.3">
      <c r="A154" t="s">
        <v>111</v>
      </c>
      <c r="B154" s="7">
        <v>3</v>
      </c>
      <c r="C154" t="s">
        <v>189</v>
      </c>
      <c r="D154" s="15">
        <v>3714934</v>
      </c>
    </row>
    <row r="155" spans="1:4" x14ac:dyDescent="0.3">
      <c r="A155" t="s">
        <v>111</v>
      </c>
      <c r="B155" s="7">
        <v>3</v>
      </c>
      <c r="C155" t="s">
        <v>190</v>
      </c>
      <c r="D155" s="15">
        <v>6800</v>
      </c>
    </row>
    <row r="156" spans="1:4" x14ac:dyDescent="0.3">
      <c r="A156" t="s">
        <v>111</v>
      </c>
      <c r="B156" s="7">
        <v>3</v>
      </c>
      <c r="C156" t="s">
        <v>191</v>
      </c>
      <c r="D156" s="15">
        <v>207011</v>
      </c>
    </row>
    <row r="157" spans="1:4" x14ac:dyDescent="0.3">
      <c r="A157" t="s">
        <v>111</v>
      </c>
      <c r="B157" s="7">
        <v>3</v>
      </c>
      <c r="C157" t="s">
        <v>192</v>
      </c>
      <c r="D157" s="15">
        <v>1356513</v>
      </c>
    </row>
    <row r="158" spans="1:4" x14ac:dyDescent="0.3">
      <c r="A158" t="s">
        <v>111</v>
      </c>
      <c r="B158" s="7">
        <v>3</v>
      </c>
      <c r="C158" t="s">
        <v>40</v>
      </c>
      <c r="D158" s="15">
        <v>761244</v>
      </c>
    </row>
    <row r="159" spans="1:4" x14ac:dyDescent="0.3">
      <c r="A159" t="s">
        <v>111</v>
      </c>
      <c r="B159" s="7">
        <v>3</v>
      </c>
      <c r="C159" t="s">
        <v>41</v>
      </c>
      <c r="D159" s="15">
        <v>2780316</v>
      </c>
    </row>
    <row r="160" spans="1:4" x14ac:dyDescent="0.3">
      <c r="A160" t="s">
        <v>111</v>
      </c>
      <c r="B160" s="7">
        <v>3</v>
      </c>
      <c r="C160" t="s">
        <v>193</v>
      </c>
      <c r="D160" s="15">
        <v>1065630</v>
      </c>
    </row>
    <row r="161" spans="1:6" x14ac:dyDescent="0.3">
      <c r="A161" t="s">
        <v>111</v>
      </c>
      <c r="B161" s="7">
        <v>3</v>
      </c>
      <c r="C161" t="s">
        <v>194</v>
      </c>
      <c r="D161" s="15">
        <v>25849994</v>
      </c>
    </row>
    <row r="162" spans="1:6" x14ac:dyDescent="0.3">
      <c r="A162" t="s">
        <v>111</v>
      </c>
      <c r="B162" s="7">
        <v>3</v>
      </c>
      <c r="C162" t="s">
        <v>181</v>
      </c>
      <c r="D162" s="15">
        <v>1541647</v>
      </c>
    </row>
    <row r="163" spans="1:6" x14ac:dyDescent="0.3">
      <c r="A163" t="s">
        <v>111</v>
      </c>
      <c r="B163" s="7">
        <v>3</v>
      </c>
      <c r="C163" t="s">
        <v>182</v>
      </c>
      <c r="D163" s="15">
        <v>48677</v>
      </c>
    </row>
    <row r="164" spans="1:6" x14ac:dyDescent="0.3">
      <c r="A164" t="s">
        <v>111</v>
      </c>
      <c r="B164" s="7">
        <v>3</v>
      </c>
      <c r="C164" t="s">
        <v>202</v>
      </c>
      <c r="D164" s="15">
        <v>2695653</v>
      </c>
    </row>
    <row r="165" spans="1:6" x14ac:dyDescent="0.3">
      <c r="A165" t="s">
        <v>111</v>
      </c>
      <c r="B165" s="7">
        <v>3</v>
      </c>
      <c r="C165" t="s">
        <v>183</v>
      </c>
      <c r="D165" s="15">
        <v>30135971</v>
      </c>
    </row>
    <row r="166" spans="1:6" x14ac:dyDescent="0.3">
      <c r="A166" t="s">
        <v>111</v>
      </c>
      <c r="B166" s="7">
        <v>3</v>
      </c>
      <c r="C166" t="s">
        <v>21</v>
      </c>
      <c r="D166" s="15">
        <v>4667283.8</v>
      </c>
    </row>
    <row r="167" spans="1:6" x14ac:dyDescent="0.3">
      <c r="A167" t="s">
        <v>111</v>
      </c>
      <c r="B167" s="7">
        <v>3</v>
      </c>
      <c r="C167" t="s">
        <v>22</v>
      </c>
      <c r="D167" s="20">
        <v>0.15490000000000001</v>
      </c>
    </row>
    <row r="168" spans="1:6" x14ac:dyDescent="0.3">
      <c r="A168" s="10" t="s">
        <v>111</v>
      </c>
      <c r="B168" s="7">
        <v>3</v>
      </c>
      <c r="C168" s="10" t="s">
        <v>20</v>
      </c>
      <c r="D168" s="21" t="s">
        <v>57</v>
      </c>
      <c r="E168" s="6" t="s">
        <v>64</v>
      </c>
      <c r="F168" s="6" t="s">
        <v>58</v>
      </c>
    </row>
    <row r="169" spans="1:6" x14ac:dyDescent="0.3">
      <c r="A169" t="s">
        <v>111</v>
      </c>
      <c r="B169" s="7">
        <v>3</v>
      </c>
      <c r="C169" t="s">
        <v>42</v>
      </c>
      <c r="D169" s="15">
        <v>9636</v>
      </c>
      <c r="E169" s="3">
        <v>1204</v>
      </c>
      <c r="F169" s="3">
        <v>8432</v>
      </c>
    </row>
    <row r="170" spans="1:6" x14ac:dyDescent="0.3">
      <c r="A170" t="s">
        <v>111</v>
      </c>
      <c r="B170" s="7">
        <v>3</v>
      </c>
      <c r="C170" t="s">
        <v>43</v>
      </c>
      <c r="D170" s="15">
        <v>105453</v>
      </c>
      <c r="E170" s="3">
        <v>23092</v>
      </c>
      <c r="F170" s="3">
        <v>82361</v>
      </c>
    </row>
    <row r="171" spans="1:6" x14ac:dyDescent="0.3">
      <c r="A171" t="s">
        <v>111</v>
      </c>
      <c r="B171" s="7">
        <v>3</v>
      </c>
      <c r="C171" t="s">
        <v>44</v>
      </c>
      <c r="D171" s="15">
        <v>49535</v>
      </c>
      <c r="E171" s="3">
        <v>20360</v>
      </c>
      <c r="F171" s="3">
        <v>29175</v>
      </c>
    </row>
    <row r="172" spans="1:6" x14ac:dyDescent="0.3">
      <c r="A172" t="s">
        <v>111</v>
      </c>
      <c r="B172" s="7">
        <v>3</v>
      </c>
      <c r="C172" t="s">
        <v>45</v>
      </c>
      <c r="D172" s="15">
        <v>56736</v>
      </c>
      <c r="E172" s="3">
        <v>55229</v>
      </c>
      <c r="F172" s="3">
        <v>1507</v>
      </c>
    </row>
    <row r="173" spans="1:6" x14ac:dyDescent="0.3">
      <c r="A173" t="s">
        <v>111</v>
      </c>
      <c r="B173" s="7">
        <v>3</v>
      </c>
      <c r="C173" t="s">
        <v>195</v>
      </c>
      <c r="D173" s="20">
        <v>7.6E-3</v>
      </c>
    </row>
    <row r="174" spans="1:6" x14ac:dyDescent="0.3">
      <c r="A174" t="s">
        <v>111</v>
      </c>
      <c r="B174" s="7">
        <v>3</v>
      </c>
      <c r="C174" t="s">
        <v>196</v>
      </c>
      <c r="D174" s="20">
        <v>4.3E-3</v>
      </c>
    </row>
    <row r="175" spans="1:6" ht="57.6" x14ac:dyDescent="0.3">
      <c r="A175" s="10" t="s">
        <v>111</v>
      </c>
      <c r="B175" s="7">
        <v>3</v>
      </c>
      <c r="C175" s="10" t="s">
        <v>20</v>
      </c>
      <c r="D175" s="22" t="s">
        <v>135</v>
      </c>
      <c r="E175" s="5" t="s">
        <v>82</v>
      </c>
      <c r="F175" s="6" t="s">
        <v>59</v>
      </c>
    </row>
    <row r="176" spans="1:6" x14ac:dyDescent="0.3">
      <c r="A176" t="s">
        <v>111</v>
      </c>
      <c r="B176" s="7">
        <v>3</v>
      </c>
      <c r="C176" t="s">
        <v>42</v>
      </c>
      <c r="D176" s="15">
        <v>9636</v>
      </c>
      <c r="E176" s="3">
        <v>9638</v>
      </c>
      <c r="F176" s="3">
        <v>-2</v>
      </c>
    </row>
    <row r="177" spans="1:7" x14ac:dyDescent="0.3">
      <c r="A177" t="s">
        <v>111</v>
      </c>
      <c r="B177" s="7">
        <v>3</v>
      </c>
      <c r="C177" t="s">
        <v>43</v>
      </c>
      <c r="D177" s="15">
        <v>105453</v>
      </c>
      <c r="E177" s="3">
        <v>109171</v>
      </c>
      <c r="F177" s="3">
        <v>-3718</v>
      </c>
    </row>
    <row r="178" spans="1:7" x14ac:dyDescent="0.3">
      <c r="A178" t="s">
        <v>111</v>
      </c>
      <c r="B178" s="7">
        <v>3</v>
      </c>
      <c r="C178" t="s">
        <v>44</v>
      </c>
      <c r="D178" s="15">
        <v>49535</v>
      </c>
      <c r="E178" s="3">
        <v>51283</v>
      </c>
      <c r="F178" s="3">
        <v>-1748</v>
      </c>
    </row>
    <row r="179" spans="1:7" x14ac:dyDescent="0.3">
      <c r="A179" t="s">
        <v>111</v>
      </c>
      <c r="B179" s="7">
        <v>3</v>
      </c>
      <c r="C179" t="s">
        <v>45</v>
      </c>
      <c r="D179" s="15">
        <v>56736</v>
      </c>
      <c r="E179" s="3">
        <v>55975</v>
      </c>
      <c r="F179" s="3">
        <v>761</v>
      </c>
    </row>
    <row r="180" spans="1:7" x14ac:dyDescent="0.3">
      <c r="A180" t="s">
        <v>111</v>
      </c>
      <c r="B180" s="7">
        <v>3</v>
      </c>
      <c r="C180" t="s">
        <v>200</v>
      </c>
      <c r="D180" s="3" t="s">
        <v>56</v>
      </c>
    </row>
    <row r="181" spans="1:7" x14ac:dyDescent="0.3">
      <c r="A181" t="s">
        <v>111</v>
      </c>
      <c r="B181" s="7">
        <v>3</v>
      </c>
      <c r="C181" t="s">
        <v>201</v>
      </c>
      <c r="D181" s="3" t="s">
        <v>56</v>
      </c>
    </row>
    <row r="182" spans="1:7" ht="57.6" x14ac:dyDescent="0.3">
      <c r="A182" s="10" t="s">
        <v>111</v>
      </c>
      <c r="B182" s="7">
        <v>3</v>
      </c>
      <c r="C182" s="10" t="s">
        <v>46</v>
      </c>
      <c r="D182" s="22" t="s">
        <v>135</v>
      </c>
      <c r="E182" s="5" t="s">
        <v>82</v>
      </c>
      <c r="F182" s="6" t="s">
        <v>59</v>
      </c>
      <c r="G182" s="8" t="s">
        <v>61</v>
      </c>
    </row>
    <row r="183" spans="1:7" x14ac:dyDescent="0.3">
      <c r="A183" t="s">
        <v>111</v>
      </c>
      <c r="B183" s="7">
        <v>3</v>
      </c>
      <c r="C183" t="s">
        <v>47</v>
      </c>
      <c r="D183" s="15">
        <v>443747</v>
      </c>
      <c r="E183" s="3">
        <v>440247</v>
      </c>
      <c r="F183" s="3">
        <v>3500</v>
      </c>
      <c r="G183" s="4">
        <v>8.0000000000000002E-3</v>
      </c>
    </row>
    <row r="184" spans="1:7" x14ac:dyDescent="0.3">
      <c r="A184" t="s">
        <v>111</v>
      </c>
      <c r="B184" s="7">
        <v>3</v>
      </c>
      <c r="C184" t="s">
        <v>48</v>
      </c>
      <c r="D184" s="15">
        <v>445245</v>
      </c>
      <c r="E184" s="3">
        <v>196848</v>
      </c>
      <c r="F184" s="3">
        <v>248397</v>
      </c>
      <c r="G184" s="4">
        <v>1.2619</v>
      </c>
    </row>
    <row r="185" spans="1:7" x14ac:dyDescent="0.3">
      <c r="A185" t="s">
        <v>111</v>
      </c>
      <c r="B185" s="7">
        <v>3</v>
      </c>
      <c r="C185" t="s">
        <v>49</v>
      </c>
      <c r="D185" s="3" t="s">
        <v>56</v>
      </c>
    </row>
    <row r="186" spans="1:7" x14ac:dyDescent="0.3">
      <c r="A186" t="s">
        <v>111</v>
      </c>
      <c r="B186" s="7">
        <v>3</v>
      </c>
      <c r="C186" t="s">
        <v>50</v>
      </c>
      <c r="D186" s="15">
        <v>950725</v>
      </c>
    </row>
    <row r="187" spans="1:7" x14ac:dyDescent="0.3">
      <c r="A187" t="s">
        <v>111</v>
      </c>
      <c r="B187" s="7">
        <v>3</v>
      </c>
      <c r="C187" t="s">
        <v>51</v>
      </c>
      <c r="D187" s="15">
        <v>749444</v>
      </c>
    </row>
    <row r="188" spans="1:7" x14ac:dyDescent="0.3">
      <c r="A188" t="s">
        <v>111</v>
      </c>
      <c r="B188" s="7">
        <v>3</v>
      </c>
      <c r="C188" t="s">
        <v>52</v>
      </c>
      <c r="D188" s="15">
        <v>1700169</v>
      </c>
    </row>
    <row r="189" spans="1:7" x14ac:dyDescent="0.3">
      <c r="A189" t="s">
        <v>111</v>
      </c>
      <c r="B189" s="7">
        <v>11</v>
      </c>
      <c r="C189" t="s">
        <v>203</v>
      </c>
      <c r="D189" s="15">
        <v>30135971</v>
      </c>
    </row>
    <row r="190" spans="1:7" x14ac:dyDescent="0.3">
      <c r="A190" t="s">
        <v>110</v>
      </c>
      <c r="B190" s="7">
        <v>4</v>
      </c>
      <c r="C190" t="s">
        <v>197</v>
      </c>
      <c r="D190" s="15">
        <v>3495293</v>
      </c>
    </row>
    <row r="191" spans="1:7" x14ac:dyDescent="0.3">
      <c r="A191" t="s">
        <v>110</v>
      </c>
      <c r="B191" s="7">
        <v>4</v>
      </c>
      <c r="C191" t="s">
        <v>24</v>
      </c>
      <c r="D191" s="3" t="s">
        <v>56</v>
      </c>
    </row>
    <row r="192" spans="1:7" x14ac:dyDescent="0.3">
      <c r="A192" t="s">
        <v>110</v>
      </c>
      <c r="B192" s="7">
        <v>4</v>
      </c>
      <c r="C192" t="s">
        <v>25</v>
      </c>
      <c r="D192" s="3" t="s">
        <v>56</v>
      </c>
    </row>
    <row r="193" spans="1:4" x14ac:dyDescent="0.3">
      <c r="A193" t="s">
        <v>110</v>
      </c>
      <c r="B193" s="7">
        <v>4</v>
      </c>
      <c r="C193" t="s">
        <v>26</v>
      </c>
      <c r="D193" s="15">
        <v>378093</v>
      </c>
    </row>
    <row r="194" spans="1:4" x14ac:dyDescent="0.3">
      <c r="A194" t="s">
        <v>110</v>
      </c>
      <c r="B194" s="7">
        <v>4</v>
      </c>
      <c r="C194" t="s">
        <v>27</v>
      </c>
      <c r="D194" s="15">
        <v>6557</v>
      </c>
    </row>
    <row r="195" spans="1:4" x14ac:dyDescent="0.3">
      <c r="A195" t="s">
        <v>110</v>
      </c>
      <c r="B195" s="7">
        <v>4</v>
      </c>
      <c r="C195" t="s">
        <v>198</v>
      </c>
      <c r="D195" s="15">
        <v>408810</v>
      </c>
    </row>
    <row r="196" spans="1:4" x14ac:dyDescent="0.3">
      <c r="A196" t="s">
        <v>110</v>
      </c>
      <c r="B196" s="7">
        <v>4</v>
      </c>
      <c r="C196" t="s">
        <v>28</v>
      </c>
      <c r="D196" s="15">
        <v>15611</v>
      </c>
    </row>
    <row r="197" spans="1:4" x14ac:dyDescent="0.3">
      <c r="A197" t="s">
        <v>110</v>
      </c>
      <c r="B197" s="7">
        <v>4</v>
      </c>
      <c r="C197" t="s">
        <v>29</v>
      </c>
      <c r="D197" s="3" t="s">
        <v>56</v>
      </c>
    </row>
    <row r="198" spans="1:4" x14ac:dyDescent="0.3">
      <c r="A198" t="s">
        <v>110</v>
      </c>
      <c r="B198" s="7">
        <v>4</v>
      </c>
      <c r="C198" t="s">
        <v>55</v>
      </c>
      <c r="D198" s="15">
        <v>-347952</v>
      </c>
    </row>
    <row r="199" spans="1:4" x14ac:dyDescent="0.3">
      <c r="A199" t="s">
        <v>110</v>
      </c>
      <c r="B199" s="7">
        <v>4</v>
      </c>
      <c r="C199" t="s">
        <v>31</v>
      </c>
      <c r="D199" s="15">
        <v>3956412</v>
      </c>
    </row>
    <row r="200" spans="1:4" x14ac:dyDescent="0.3">
      <c r="A200" t="s">
        <v>110</v>
      </c>
      <c r="B200" s="7">
        <v>4</v>
      </c>
      <c r="C200" t="s">
        <v>199</v>
      </c>
      <c r="D200" s="15">
        <v>392077</v>
      </c>
    </row>
    <row r="201" spans="1:4" x14ac:dyDescent="0.3">
      <c r="A201" t="s">
        <v>110</v>
      </c>
      <c r="B201" s="7">
        <v>4</v>
      </c>
      <c r="C201" t="s">
        <v>32</v>
      </c>
      <c r="D201" s="15">
        <v>1997</v>
      </c>
    </row>
    <row r="202" spans="1:4" x14ac:dyDescent="0.3">
      <c r="A202" t="s">
        <v>110</v>
      </c>
      <c r="B202" s="7">
        <v>4</v>
      </c>
      <c r="C202" t="s">
        <v>33</v>
      </c>
      <c r="D202" s="15">
        <v>300</v>
      </c>
    </row>
    <row r="203" spans="1:4" x14ac:dyDescent="0.3">
      <c r="A203" t="s">
        <v>110</v>
      </c>
      <c r="B203" s="7">
        <v>4</v>
      </c>
      <c r="C203" t="s">
        <v>34</v>
      </c>
      <c r="D203" s="15">
        <v>394374</v>
      </c>
    </row>
    <row r="204" spans="1:4" x14ac:dyDescent="0.3">
      <c r="A204" t="s">
        <v>110</v>
      </c>
      <c r="B204" s="7">
        <v>4</v>
      </c>
      <c r="C204" t="s">
        <v>35</v>
      </c>
      <c r="D204" s="15">
        <v>3956412</v>
      </c>
    </row>
    <row r="205" spans="1:4" x14ac:dyDescent="0.3">
      <c r="A205" t="s">
        <v>110</v>
      </c>
      <c r="B205" s="7">
        <v>4</v>
      </c>
      <c r="C205" t="s">
        <v>36</v>
      </c>
      <c r="D205" s="15">
        <v>394374</v>
      </c>
    </row>
    <row r="206" spans="1:4" x14ac:dyDescent="0.3">
      <c r="A206" t="s">
        <v>110</v>
      </c>
      <c r="B206" s="7">
        <v>4</v>
      </c>
      <c r="C206" t="s">
        <v>37</v>
      </c>
      <c r="D206" s="15">
        <v>4350786</v>
      </c>
    </row>
    <row r="207" spans="1:4" x14ac:dyDescent="0.3">
      <c r="A207" t="s">
        <v>110</v>
      </c>
      <c r="B207" s="7">
        <v>4</v>
      </c>
      <c r="C207" t="s">
        <v>38</v>
      </c>
      <c r="D207" s="20">
        <v>0.12590000000000001</v>
      </c>
    </row>
    <row r="208" spans="1:4" x14ac:dyDescent="0.3">
      <c r="A208" t="s">
        <v>110</v>
      </c>
      <c r="B208" s="7">
        <v>4</v>
      </c>
      <c r="C208" t="s">
        <v>39</v>
      </c>
      <c r="D208" s="20">
        <v>0.13850000000000001</v>
      </c>
    </row>
    <row r="209" spans="1:4" x14ac:dyDescent="0.3">
      <c r="A209" t="s">
        <v>110</v>
      </c>
      <c r="B209" s="7">
        <v>4</v>
      </c>
      <c r="C209" t="s">
        <v>194</v>
      </c>
      <c r="D209" s="15">
        <v>27074723</v>
      </c>
    </row>
    <row r="210" spans="1:4" x14ac:dyDescent="0.3">
      <c r="A210" t="s">
        <v>110</v>
      </c>
      <c r="B210" s="7">
        <v>4</v>
      </c>
      <c r="C210" t="s">
        <v>181</v>
      </c>
      <c r="D210" s="15">
        <v>1541647</v>
      </c>
    </row>
    <row r="211" spans="1:4" x14ac:dyDescent="0.3">
      <c r="A211" t="s">
        <v>110</v>
      </c>
      <c r="B211" s="7">
        <v>4</v>
      </c>
      <c r="C211" t="s">
        <v>182</v>
      </c>
      <c r="D211" s="15">
        <v>18313</v>
      </c>
    </row>
    <row r="212" spans="1:4" x14ac:dyDescent="0.3">
      <c r="A212" t="s">
        <v>110</v>
      </c>
      <c r="B212" s="7">
        <v>4</v>
      </c>
      <c r="C212" t="s">
        <v>202</v>
      </c>
      <c r="D212" s="15">
        <v>2779259</v>
      </c>
    </row>
    <row r="213" spans="1:4" x14ac:dyDescent="0.3">
      <c r="A213" t="s">
        <v>110</v>
      </c>
      <c r="B213" s="7">
        <v>4</v>
      </c>
      <c r="C213" t="s">
        <v>203</v>
      </c>
      <c r="D213" s="15">
        <v>31413942</v>
      </c>
    </row>
    <row r="214" spans="1:4" x14ac:dyDescent="0.3">
      <c r="A214" t="s">
        <v>110</v>
      </c>
      <c r="B214" s="7">
        <v>4</v>
      </c>
      <c r="C214" t="s">
        <v>184</v>
      </c>
      <c r="D214" s="3" t="s">
        <v>56</v>
      </c>
    </row>
    <row r="215" spans="1:4" x14ac:dyDescent="0.3">
      <c r="A215" t="s">
        <v>110</v>
      </c>
      <c r="B215" s="7">
        <v>4</v>
      </c>
      <c r="C215" t="s">
        <v>185</v>
      </c>
      <c r="D215" s="3" t="s">
        <v>56</v>
      </c>
    </row>
    <row r="216" spans="1:4" x14ac:dyDescent="0.3">
      <c r="A216" t="s">
        <v>110</v>
      </c>
      <c r="B216" s="7">
        <v>4</v>
      </c>
      <c r="C216" t="s">
        <v>186</v>
      </c>
      <c r="D216" s="15">
        <v>6087705</v>
      </c>
    </row>
    <row r="217" spans="1:4" x14ac:dyDescent="0.3">
      <c r="A217" t="s">
        <v>110</v>
      </c>
      <c r="B217" s="7">
        <v>4</v>
      </c>
      <c r="C217" t="s">
        <v>187</v>
      </c>
      <c r="D217" s="15">
        <v>5926369</v>
      </c>
    </row>
    <row r="218" spans="1:4" x14ac:dyDescent="0.3">
      <c r="A218" t="s">
        <v>110</v>
      </c>
      <c r="B218" s="7">
        <v>4</v>
      </c>
      <c r="C218" t="s">
        <v>188</v>
      </c>
      <c r="D218" s="15">
        <v>17031632</v>
      </c>
    </row>
    <row r="219" spans="1:4" x14ac:dyDescent="0.3">
      <c r="A219" t="s">
        <v>110</v>
      </c>
      <c r="B219" s="7">
        <v>4</v>
      </c>
      <c r="C219" t="s">
        <v>189</v>
      </c>
      <c r="D219" s="15">
        <v>3807068</v>
      </c>
    </row>
    <row r="220" spans="1:4" x14ac:dyDescent="0.3">
      <c r="A220" t="s">
        <v>110</v>
      </c>
      <c r="B220" s="7">
        <v>4</v>
      </c>
      <c r="C220" t="s">
        <v>190</v>
      </c>
      <c r="D220" s="3" t="s">
        <v>56</v>
      </c>
    </row>
    <row r="221" spans="1:4" x14ac:dyDescent="0.3">
      <c r="A221" t="s">
        <v>110</v>
      </c>
      <c r="B221" s="7">
        <v>4</v>
      </c>
      <c r="C221" t="s">
        <v>191</v>
      </c>
      <c r="D221" s="15">
        <v>195465</v>
      </c>
    </row>
    <row r="222" spans="1:4" x14ac:dyDescent="0.3">
      <c r="A222" t="s">
        <v>110</v>
      </c>
      <c r="B222" s="7">
        <v>4</v>
      </c>
      <c r="C222" t="s">
        <v>192</v>
      </c>
      <c r="D222" s="15">
        <v>1657790</v>
      </c>
    </row>
    <row r="223" spans="1:4" x14ac:dyDescent="0.3">
      <c r="A223" t="s">
        <v>110</v>
      </c>
      <c r="B223" s="7">
        <v>4</v>
      </c>
      <c r="C223" t="s">
        <v>40</v>
      </c>
      <c r="D223" s="15">
        <v>927377</v>
      </c>
    </row>
    <row r="224" spans="1:4" x14ac:dyDescent="0.3">
      <c r="A224" t="s">
        <v>110</v>
      </c>
      <c r="B224" s="7">
        <v>4</v>
      </c>
      <c r="C224" t="s">
        <v>41</v>
      </c>
      <c r="D224" s="15">
        <v>2622211</v>
      </c>
    </row>
    <row r="225" spans="1:6" x14ac:dyDescent="0.3">
      <c r="A225" t="s">
        <v>110</v>
      </c>
      <c r="B225" s="7">
        <v>4</v>
      </c>
      <c r="C225" t="s">
        <v>193</v>
      </c>
      <c r="D225" s="15">
        <v>1094164</v>
      </c>
    </row>
    <row r="226" spans="1:6" x14ac:dyDescent="0.3">
      <c r="A226" t="s">
        <v>110</v>
      </c>
      <c r="B226" s="7">
        <v>4</v>
      </c>
      <c r="C226" t="s">
        <v>194</v>
      </c>
      <c r="D226" s="15">
        <v>27074723</v>
      </c>
    </row>
    <row r="227" spans="1:6" x14ac:dyDescent="0.3">
      <c r="A227" t="s">
        <v>110</v>
      </c>
      <c r="B227" s="7">
        <v>4</v>
      </c>
      <c r="C227" t="s">
        <v>181</v>
      </c>
      <c r="D227" s="15">
        <v>1541647</v>
      </c>
    </row>
    <row r="228" spans="1:6" x14ac:dyDescent="0.3">
      <c r="A228" t="s">
        <v>110</v>
      </c>
      <c r="B228" s="7">
        <v>4</v>
      </c>
      <c r="C228" t="s">
        <v>182</v>
      </c>
      <c r="D228" s="15">
        <v>18313</v>
      </c>
    </row>
    <row r="229" spans="1:6" x14ac:dyDescent="0.3">
      <c r="A229" t="s">
        <v>110</v>
      </c>
      <c r="B229" s="7">
        <v>4</v>
      </c>
      <c r="C229" t="s">
        <v>202</v>
      </c>
      <c r="D229" s="15">
        <v>2779259</v>
      </c>
    </row>
    <row r="230" spans="1:6" x14ac:dyDescent="0.3">
      <c r="A230" t="s">
        <v>110</v>
      </c>
      <c r="B230" s="7">
        <v>4</v>
      </c>
      <c r="C230" t="s">
        <v>183</v>
      </c>
      <c r="D230" s="15">
        <v>31413942</v>
      </c>
    </row>
    <row r="231" spans="1:6" x14ac:dyDescent="0.3">
      <c r="A231" t="s">
        <v>110</v>
      </c>
      <c r="B231" s="7">
        <v>4</v>
      </c>
      <c r="C231" t="s">
        <v>21</v>
      </c>
      <c r="D231" s="15">
        <v>4350786.08</v>
      </c>
    </row>
    <row r="232" spans="1:6" x14ac:dyDescent="0.3">
      <c r="A232" t="s">
        <v>110</v>
      </c>
      <c r="B232" s="7">
        <v>4</v>
      </c>
      <c r="C232" t="s">
        <v>22</v>
      </c>
      <c r="D232" s="20">
        <v>0.13850000000000001</v>
      </c>
    </row>
    <row r="233" spans="1:6" x14ac:dyDescent="0.3">
      <c r="A233" s="10" t="s">
        <v>110</v>
      </c>
      <c r="B233" s="7">
        <v>4</v>
      </c>
      <c r="C233" s="10" t="s">
        <v>20</v>
      </c>
      <c r="D233" s="21" t="s">
        <v>57</v>
      </c>
      <c r="E233" s="6" t="s">
        <v>64</v>
      </c>
      <c r="F233" s="6" t="s">
        <v>58</v>
      </c>
    </row>
    <row r="234" spans="1:6" x14ac:dyDescent="0.3">
      <c r="A234" t="s">
        <v>110</v>
      </c>
      <c r="B234" s="7">
        <v>4</v>
      </c>
      <c r="C234" t="s">
        <v>42</v>
      </c>
      <c r="D234" s="15" t="s">
        <v>56</v>
      </c>
      <c r="E234" s="3" t="s">
        <v>56</v>
      </c>
      <c r="F234" s="3" t="s">
        <v>56</v>
      </c>
    </row>
    <row r="235" spans="1:6" x14ac:dyDescent="0.3">
      <c r="A235" t="s">
        <v>110</v>
      </c>
      <c r="B235" s="7">
        <v>4</v>
      </c>
      <c r="C235" t="s">
        <v>43</v>
      </c>
      <c r="D235" s="15">
        <v>14996</v>
      </c>
      <c r="E235" s="3">
        <v>3700</v>
      </c>
      <c r="F235" s="3">
        <v>11296</v>
      </c>
    </row>
    <row r="236" spans="1:6" x14ac:dyDescent="0.3">
      <c r="A236" t="s">
        <v>110</v>
      </c>
      <c r="B236" s="7">
        <v>4</v>
      </c>
      <c r="C236" t="s">
        <v>44</v>
      </c>
      <c r="D236" s="15">
        <v>106133</v>
      </c>
      <c r="E236" s="3">
        <v>42392</v>
      </c>
      <c r="F236" s="3">
        <v>63741</v>
      </c>
    </row>
    <row r="237" spans="1:6" x14ac:dyDescent="0.3">
      <c r="A237" t="s">
        <v>110</v>
      </c>
      <c r="B237" s="7">
        <v>4</v>
      </c>
      <c r="C237" t="s">
        <v>45</v>
      </c>
      <c r="D237" s="15">
        <v>88755</v>
      </c>
      <c r="E237" s="3">
        <v>87248</v>
      </c>
      <c r="F237" s="3">
        <v>1507</v>
      </c>
    </row>
    <row r="238" spans="1:6" x14ac:dyDescent="0.3">
      <c r="A238" t="s">
        <v>110</v>
      </c>
      <c r="B238" s="7">
        <v>4</v>
      </c>
      <c r="C238" t="s">
        <v>195</v>
      </c>
      <c r="D238" s="20">
        <v>6.7999999999999996E-3</v>
      </c>
    </row>
    <row r="239" spans="1:6" x14ac:dyDescent="0.3">
      <c r="A239" t="s">
        <v>110</v>
      </c>
      <c r="B239" s="7">
        <v>4</v>
      </c>
      <c r="C239" t="s">
        <v>196</v>
      </c>
      <c r="D239" s="20">
        <v>2.5000000000000001E-3</v>
      </c>
    </row>
    <row r="240" spans="1:6" ht="28.8" x14ac:dyDescent="0.3">
      <c r="A240" s="10" t="s">
        <v>110</v>
      </c>
      <c r="B240" s="7">
        <v>4</v>
      </c>
      <c r="C240" s="10" t="s">
        <v>20</v>
      </c>
      <c r="D240" s="22" t="s">
        <v>133</v>
      </c>
      <c r="E240" s="5" t="s">
        <v>80</v>
      </c>
      <c r="F240" s="6" t="s">
        <v>59</v>
      </c>
    </row>
    <row r="241" spans="1:7" x14ac:dyDescent="0.3">
      <c r="A241" t="s">
        <v>110</v>
      </c>
      <c r="B241" s="7">
        <v>4</v>
      </c>
      <c r="C241" t="s">
        <v>42</v>
      </c>
      <c r="D241" s="15" t="s">
        <v>56</v>
      </c>
      <c r="E241" s="3">
        <v>9636</v>
      </c>
      <c r="F241" s="3">
        <v>-9636</v>
      </c>
    </row>
    <row r="242" spans="1:7" x14ac:dyDescent="0.3">
      <c r="A242" t="s">
        <v>110</v>
      </c>
      <c r="B242" s="7">
        <v>4</v>
      </c>
      <c r="C242" t="s">
        <v>43</v>
      </c>
      <c r="D242" s="15">
        <v>14996</v>
      </c>
      <c r="E242" s="3">
        <v>105453</v>
      </c>
      <c r="F242" s="3">
        <v>-90457</v>
      </c>
    </row>
    <row r="243" spans="1:7" x14ac:dyDescent="0.3">
      <c r="A243" t="s">
        <v>110</v>
      </c>
      <c r="B243" s="7">
        <v>4</v>
      </c>
      <c r="C243" t="s">
        <v>44</v>
      </c>
      <c r="D243" s="15">
        <v>106133</v>
      </c>
      <c r="E243" s="3">
        <v>49535</v>
      </c>
      <c r="F243" s="3">
        <v>56598</v>
      </c>
    </row>
    <row r="244" spans="1:7" x14ac:dyDescent="0.3">
      <c r="A244" t="s">
        <v>110</v>
      </c>
      <c r="B244" s="7">
        <v>4</v>
      </c>
      <c r="C244" t="s">
        <v>45</v>
      </c>
      <c r="D244" s="15">
        <v>88755</v>
      </c>
      <c r="E244" s="3">
        <v>56736</v>
      </c>
      <c r="F244" s="3">
        <v>32019</v>
      </c>
    </row>
    <row r="245" spans="1:7" x14ac:dyDescent="0.3">
      <c r="A245" t="s">
        <v>110</v>
      </c>
      <c r="B245" s="7">
        <v>4</v>
      </c>
      <c r="C245" t="s">
        <v>200</v>
      </c>
      <c r="D245" s="15" t="s">
        <v>56</v>
      </c>
    </row>
    <row r="246" spans="1:7" x14ac:dyDescent="0.3">
      <c r="A246" t="s">
        <v>110</v>
      </c>
      <c r="B246" s="7">
        <v>4</v>
      </c>
      <c r="C246" t="s">
        <v>201</v>
      </c>
      <c r="D246" s="15" t="s">
        <v>56</v>
      </c>
    </row>
    <row r="247" spans="1:7" ht="57.6" x14ac:dyDescent="0.3">
      <c r="A247" s="10" t="s">
        <v>110</v>
      </c>
      <c r="B247" s="7">
        <v>4</v>
      </c>
      <c r="C247" s="10" t="s">
        <v>46</v>
      </c>
      <c r="D247" s="22" t="s">
        <v>134</v>
      </c>
      <c r="E247" s="5" t="s">
        <v>81</v>
      </c>
      <c r="F247" s="6" t="s">
        <v>59</v>
      </c>
      <c r="G247" s="8" t="s">
        <v>61</v>
      </c>
    </row>
    <row r="248" spans="1:7" x14ac:dyDescent="0.3">
      <c r="A248" t="s">
        <v>110</v>
      </c>
      <c r="B248" s="7">
        <v>4</v>
      </c>
      <c r="C248" t="s">
        <v>47</v>
      </c>
      <c r="D248" s="15">
        <v>662332</v>
      </c>
      <c r="E248" s="3">
        <v>443747</v>
      </c>
      <c r="F248" s="3">
        <v>218585</v>
      </c>
      <c r="G248" s="4">
        <v>0.49259999999999998</v>
      </c>
    </row>
    <row r="249" spans="1:7" x14ac:dyDescent="0.3">
      <c r="A249" t="s">
        <v>110</v>
      </c>
      <c r="B249" s="7">
        <v>4</v>
      </c>
      <c r="C249" t="s">
        <v>48</v>
      </c>
      <c r="D249" s="15">
        <v>490036</v>
      </c>
      <c r="E249" s="3">
        <v>445245</v>
      </c>
      <c r="F249" s="3">
        <v>44792</v>
      </c>
      <c r="G249" s="4">
        <v>0.10059999999999999</v>
      </c>
    </row>
    <row r="250" spans="1:7" x14ac:dyDescent="0.3">
      <c r="A250" t="s">
        <v>110</v>
      </c>
      <c r="B250" s="7">
        <v>4</v>
      </c>
      <c r="C250" t="s">
        <v>49</v>
      </c>
      <c r="D250" s="15" t="s">
        <v>56</v>
      </c>
    </row>
    <row r="251" spans="1:7" x14ac:dyDescent="0.3">
      <c r="A251" t="s">
        <v>110</v>
      </c>
      <c r="B251" s="7">
        <v>4</v>
      </c>
      <c r="C251" t="s">
        <v>50</v>
      </c>
      <c r="D251" s="15">
        <v>2161006</v>
      </c>
    </row>
    <row r="252" spans="1:7" x14ac:dyDescent="0.3">
      <c r="A252" t="s">
        <v>110</v>
      </c>
      <c r="B252" s="7">
        <v>4</v>
      </c>
      <c r="C252" t="s">
        <v>51</v>
      </c>
      <c r="D252" s="15">
        <v>740726</v>
      </c>
    </row>
    <row r="253" spans="1:7" x14ac:dyDescent="0.3">
      <c r="A253" t="s">
        <v>110</v>
      </c>
      <c r="B253" s="7">
        <v>4</v>
      </c>
      <c r="C253" t="s">
        <v>52</v>
      </c>
      <c r="D253" s="15">
        <v>2901732</v>
      </c>
    </row>
    <row r="254" spans="1:7" x14ac:dyDescent="0.3">
      <c r="A254" t="s">
        <v>101</v>
      </c>
      <c r="B254" s="7">
        <v>5</v>
      </c>
      <c r="C254" t="s">
        <v>197</v>
      </c>
      <c r="D254" s="15">
        <v>3495293</v>
      </c>
    </row>
    <row r="255" spans="1:7" x14ac:dyDescent="0.3">
      <c r="A255" t="s">
        <v>101</v>
      </c>
      <c r="B255" s="7">
        <v>5</v>
      </c>
      <c r="C255" t="s">
        <v>24</v>
      </c>
      <c r="D255" s="15" t="s">
        <v>56</v>
      </c>
    </row>
    <row r="256" spans="1:7" x14ac:dyDescent="0.3">
      <c r="A256" t="s">
        <v>101</v>
      </c>
      <c r="B256" s="7">
        <v>5</v>
      </c>
      <c r="C256" t="s">
        <v>25</v>
      </c>
      <c r="D256" s="15" t="s">
        <v>56</v>
      </c>
    </row>
    <row r="257" spans="1:4" x14ac:dyDescent="0.3">
      <c r="A257" t="s">
        <v>101</v>
      </c>
      <c r="B257" s="7">
        <v>5</v>
      </c>
      <c r="C257" t="s">
        <v>26</v>
      </c>
      <c r="D257" s="15">
        <v>378093</v>
      </c>
    </row>
    <row r="258" spans="1:4" x14ac:dyDescent="0.3">
      <c r="A258" t="s">
        <v>101</v>
      </c>
      <c r="B258" s="7">
        <v>5</v>
      </c>
      <c r="C258" t="s">
        <v>27</v>
      </c>
      <c r="D258" s="15">
        <v>410112</v>
      </c>
    </row>
    <row r="259" spans="1:4" x14ac:dyDescent="0.3">
      <c r="A259" t="s">
        <v>101</v>
      </c>
      <c r="B259" s="7">
        <v>5</v>
      </c>
      <c r="C259" t="s">
        <v>198</v>
      </c>
      <c r="D259" s="15">
        <v>60958</v>
      </c>
    </row>
    <row r="260" spans="1:4" x14ac:dyDescent="0.3">
      <c r="A260" t="s">
        <v>101</v>
      </c>
      <c r="B260" s="7">
        <v>5</v>
      </c>
      <c r="C260" t="s">
        <v>28</v>
      </c>
      <c r="D260" s="15">
        <v>15611</v>
      </c>
    </row>
    <row r="261" spans="1:4" x14ac:dyDescent="0.3">
      <c r="A261" t="s">
        <v>101</v>
      </c>
      <c r="B261" s="7">
        <v>5</v>
      </c>
      <c r="C261" t="s">
        <v>29</v>
      </c>
      <c r="D261" s="15" t="s">
        <v>56</v>
      </c>
    </row>
    <row r="262" spans="1:4" x14ac:dyDescent="0.3">
      <c r="A262" t="s">
        <v>101</v>
      </c>
      <c r="B262" s="7">
        <v>5</v>
      </c>
      <c r="C262" t="s">
        <v>30</v>
      </c>
      <c r="D262" s="15" t="s">
        <v>56</v>
      </c>
    </row>
    <row r="263" spans="1:4" x14ac:dyDescent="0.3">
      <c r="A263" t="s">
        <v>101</v>
      </c>
      <c r="B263" s="7">
        <v>5</v>
      </c>
      <c r="C263" t="s">
        <v>53</v>
      </c>
      <c r="D263" s="15">
        <v>-249636</v>
      </c>
    </row>
    <row r="264" spans="1:4" x14ac:dyDescent="0.3">
      <c r="A264" t="s">
        <v>101</v>
      </c>
      <c r="B264" s="7">
        <v>5</v>
      </c>
      <c r="C264" t="s">
        <v>31</v>
      </c>
      <c r="D264" s="15">
        <v>4110432</v>
      </c>
    </row>
    <row r="265" spans="1:4" x14ac:dyDescent="0.3">
      <c r="A265" t="s">
        <v>101</v>
      </c>
      <c r="B265" s="7">
        <v>5</v>
      </c>
      <c r="C265" t="s">
        <v>199</v>
      </c>
      <c r="D265" s="15">
        <v>443064</v>
      </c>
    </row>
    <row r="266" spans="1:4" x14ac:dyDescent="0.3">
      <c r="A266" t="s">
        <v>101</v>
      </c>
      <c r="B266" s="7">
        <v>5</v>
      </c>
      <c r="C266" t="s">
        <v>32</v>
      </c>
      <c r="D266" s="15">
        <v>1997</v>
      </c>
    </row>
    <row r="267" spans="1:4" x14ac:dyDescent="0.3">
      <c r="A267" t="s">
        <v>101</v>
      </c>
      <c r="B267" s="7">
        <v>5</v>
      </c>
      <c r="C267" t="s">
        <v>33</v>
      </c>
      <c r="D267" s="15">
        <v>300</v>
      </c>
    </row>
    <row r="268" spans="1:4" x14ac:dyDescent="0.3">
      <c r="A268" t="s">
        <v>101</v>
      </c>
      <c r="B268" s="7">
        <v>5</v>
      </c>
      <c r="C268" t="s">
        <v>34</v>
      </c>
      <c r="D268" s="15">
        <v>445361</v>
      </c>
    </row>
    <row r="269" spans="1:4" x14ac:dyDescent="0.3">
      <c r="A269" t="s">
        <v>101</v>
      </c>
      <c r="B269" s="7">
        <v>5</v>
      </c>
      <c r="C269" t="s">
        <v>35</v>
      </c>
      <c r="D269" s="15">
        <v>4110432</v>
      </c>
    </row>
    <row r="270" spans="1:4" x14ac:dyDescent="0.3">
      <c r="A270" t="s">
        <v>101</v>
      </c>
      <c r="B270" s="7">
        <v>5</v>
      </c>
      <c r="C270" t="s">
        <v>36</v>
      </c>
      <c r="D270" s="15">
        <v>445361</v>
      </c>
    </row>
    <row r="271" spans="1:4" x14ac:dyDescent="0.3">
      <c r="A271" t="s">
        <v>101</v>
      </c>
      <c r="B271" s="7">
        <v>5</v>
      </c>
      <c r="C271" t="s">
        <v>37</v>
      </c>
      <c r="D271" s="15">
        <v>4555793</v>
      </c>
    </row>
    <row r="272" spans="1:4" x14ac:dyDescent="0.3">
      <c r="A272" t="s">
        <v>101</v>
      </c>
      <c r="B272" s="7">
        <v>5</v>
      </c>
      <c r="C272" t="s">
        <v>38</v>
      </c>
      <c r="D272" s="20">
        <v>0.11600000000000001</v>
      </c>
    </row>
    <row r="273" spans="1:4" x14ac:dyDescent="0.3">
      <c r="A273" t="s">
        <v>101</v>
      </c>
      <c r="B273" s="7">
        <v>5</v>
      </c>
      <c r="C273" t="s">
        <v>39</v>
      </c>
      <c r="D273" s="20">
        <v>0.1285</v>
      </c>
    </row>
    <row r="274" spans="1:4" x14ac:dyDescent="0.3">
      <c r="A274" t="s">
        <v>101</v>
      </c>
      <c r="B274" s="7">
        <v>5</v>
      </c>
      <c r="C274" t="s">
        <v>194</v>
      </c>
      <c r="D274" s="15">
        <v>30344350</v>
      </c>
    </row>
    <row r="275" spans="1:4" x14ac:dyDescent="0.3">
      <c r="A275" t="s">
        <v>101</v>
      </c>
      <c r="B275" s="7">
        <v>5</v>
      </c>
      <c r="C275" t="s">
        <v>181</v>
      </c>
      <c r="D275" s="15">
        <v>2034860</v>
      </c>
    </row>
    <row r="276" spans="1:4" x14ac:dyDescent="0.3">
      <c r="A276" t="s">
        <v>101</v>
      </c>
      <c r="B276" s="7">
        <v>5</v>
      </c>
      <c r="C276" t="s">
        <v>182</v>
      </c>
      <c r="D276" s="15">
        <v>22914</v>
      </c>
    </row>
    <row r="277" spans="1:4" x14ac:dyDescent="0.3">
      <c r="A277" t="s">
        <v>101</v>
      </c>
      <c r="B277" s="7">
        <v>5</v>
      </c>
      <c r="C277" t="s">
        <v>202</v>
      </c>
      <c r="D277" s="15">
        <v>3042979</v>
      </c>
    </row>
    <row r="278" spans="1:4" x14ac:dyDescent="0.3">
      <c r="A278" t="s">
        <v>101</v>
      </c>
      <c r="B278" s="7">
        <v>5</v>
      </c>
      <c r="C278" t="s">
        <v>183</v>
      </c>
      <c r="D278" s="15">
        <v>35445103</v>
      </c>
    </row>
    <row r="279" spans="1:4" x14ac:dyDescent="0.3">
      <c r="A279" t="s">
        <v>101</v>
      </c>
      <c r="B279" s="7">
        <v>5</v>
      </c>
      <c r="C279" t="s">
        <v>184</v>
      </c>
      <c r="D279" s="15">
        <v>3399</v>
      </c>
    </row>
    <row r="280" spans="1:4" x14ac:dyDescent="0.3">
      <c r="A280" t="s">
        <v>101</v>
      </c>
      <c r="B280" s="7">
        <v>5</v>
      </c>
      <c r="C280" t="s">
        <v>185</v>
      </c>
      <c r="D280" s="15" t="s">
        <v>56</v>
      </c>
    </row>
    <row r="281" spans="1:4" x14ac:dyDescent="0.3">
      <c r="A281" t="s">
        <v>101</v>
      </c>
      <c r="B281" s="7">
        <v>5</v>
      </c>
      <c r="C281" t="s">
        <v>186</v>
      </c>
      <c r="D281" s="15">
        <v>10293733</v>
      </c>
    </row>
    <row r="282" spans="1:4" x14ac:dyDescent="0.3">
      <c r="A282" t="s">
        <v>101</v>
      </c>
      <c r="B282" s="7">
        <v>5</v>
      </c>
      <c r="C282" t="s">
        <v>187</v>
      </c>
      <c r="D282" s="15">
        <v>5379525</v>
      </c>
    </row>
    <row r="283" spans="1:4" x14ac:dyDescent="0.3">
      <c r="A283" t="s">
        <v>101</v>
      </c>
      <c r="B283" s="7">
        <v>5</v>
      </c>
      <c r="C283" t="s">
        <v>188</v>
      </c>
      <c r="D283" s="15">
        <v>18501818</v>
      </c>
    </row>
    <row r="284" spans="1:4" x14ac:dyDescent="0.3">
      <c r="A284" t="s">
        <v>101</v>
      </c>
      <c r="B284" s="7">
        <v>5</v>
      </c>
      <c r="C284" t="s">
        <v>189</v>
      </c>
      <c r="D284" s="15">
        <v>3769751</v>
      </c>
    </row>
    <row r="285" spans="1:4" x14ac:dyDescent="0.3">
      <c r="A285" t="s">
        <v>101</v>
      </c>
      <c r="B285" s="7">
        <v>5</v>
      </c>
      <c r="C285" t="s">
        <v>190</v>
      </c>
      <c r="D285" s="15">
        <v>6800</v>
      </c>
    </row>
    <row r="286" spans="1:4" x14ac:dyDescent="0.3">
      <c r="A286" t="s">
        <v>101</v>
      </c>
      <c r="B286" s="7">
        <v>5</v>
      </c>
      <c r="C286" t="s">
        <v>191</v>
      </c>
      <c r="D286" s="15">
        <v>209277</v>
      </c>
    </row>
    <row r="287" spans="1:4" x14ac:dyDescent="0.3">
      <c r="A287" t="s">
        <v>101</v>
      </c>
      <c r="B287" s="7">
        <v>5</v>
      </c>
      <c r="C287" t="s">
        <v>192</v>
      </c>
      <c r="D287" s="15">
        <v>2479653</v>
      </c>
    </row>
    <row r="288" spans="1:4" x14ac:dyDescent="0.3">
      <c r="A288" t="s">
        <v>101</v>
      </c>
      <c r="B288" s="7">
        <v>5</v>
      </c>
      <c r="C288" t="s">
        <v>40</v>
      </c>
      <c r="D288" s="15">
        <v>687512</v>
      </c>
    </row>
    <row r="289" spans="1:6" x14ac:dyDescent="0.3">
      <c r="A289" t="s">
        <v>101</v>
      </c>
      <c r="B289" s="7">
        <v>5</v>
      </c>
      <c r="C289" t="s">
        <v>41</v>
      </c>
      <c r="D289" s="15">
        <v>2891481</v>
      </c>
    </row>
    <row r="290" spans="1:6" x14ac:dyDescent="0.3">
      <c r="A290" t="s">
        <v>101</v>
      </c>
      <c r="B290" s="7">
        <v>5</v>
      </c>
      <c r="C290" t="s">
        <v>193</v>
      </c>
      <c r="D290" s="15">
        <v>1697971</v>
      </c>
    </row>
    <row r="291" spans="1:6" x14ac:dyDescent="0.3">
      <c r="A291" t="s">
        <v>101</v>
      </c>
      <c r="B291" s="7">
        <v>5</v>
      </c>
      <c r="C291" t="s">
        <v>194</v>
      </c>
      <c r="D291" s="15">
        <v>30344350</v>
      </c>
    </row>
    <row r="292" spans="1:6" x14ac:dyDescent="0.3">
      <c r="A292" t="s">
        <v>101</v>
      </c>
      <c r="B292" s="7">
        <v>5</v>
      </c>
      <c r="C292" t="s">
        <v>181</v>
      </c>
      <c r="D292" s="15">
        <v>2034860</v>
      </c>
    </row>
    <row r="293" spans="1:6" x14ac:dyDescent="0.3">
      <c r="A293" t="s">
        <v>101</v>
      </c>
      <c r="B293" s="7">
        <v>5</v>
      </c>
      <c r="C293" t="s">
        <v>182</v>
      </c>
      <c r="D293" s="15">
        <v>22914</v>
      </c>
    </row>
    <row r="294" spans="1:6" x14ac:dyDescent="0.3">
      <c r="A294" t="s">
        <v>101</v>
      </c>
      <c r="B294" s="7">
        <v>5</v>
      </c>
      <c r="C294" t="s">
        <v>202</v>
      </c>
      <c r="D294" s="15">
        <v>3042979</v>
      </c>
    </row>
    <row r="295" spans="1:6" x14ac:dyDescent="0.3">
      <c r="A295" t="s">
        <v>101</v>
      </c>
      <c r="B295" s="7">
        <v>5</v>
      </c>
      <c r="C295" t="s">
        <v>183</v>
      </c>
      <c r="D295" s="15">
        <v>35445103</v>
      </c>
    </row>
    <row r="296" spans="1:6" x14ac:dyDescent="0.3">
      <c r="A296" t="s">
        <v>101</v>
      </c>
      <c r="B296" s="7">
        <v>5</v>
      </c>
      <c r="C296" t="s">
        <v>21</v>
      </c>
      <c r="D296" s="15">
        <v>4555792.9800000004</v>
      </c>
    </row>
    <row r="297" spans="1:6" x14ac:dyDescent="0.3">
      <c r="A297" t="s">
        <v>101</v>
      </c>
      <c r="B297" s="7">
        <v>5</v>
      </c>
      <c r="C297" t="s">
        <v>22</v>
      </c>
      <c r="D297" s="20">
        <v>0.1285</v>
      </c>
    </row>
    <row r="298" spans="1:6" x14ac:dyDescent="0.3">
      <c r="A298" s="10" t="s">
        <v>101</v>
      </c>
      <c r="B298" s="7">
        <v>5</v>
      </c>
      <c r="C298" s="10" t="s">
        <v>20</v>
      </c>
      <c r="D298" s="21" t="s">
        <v>57</v>
      </c>
      <c r="E298" s="6" t="s">
        <v>64</v>
      </c>
      <c r="F298" s="6" t="s">
        <v>58</v>
      </c>
    </row>
    <row r="299" spans="1:6" x14ac:dyDescent="0.3">
      <c r="A299" t="s">
        <v>101</v>
      </c>
      <c r="B299" s="7">
        <v>5</v>
      </c>
      <c r="C299" t="s">
        <v>42</v>
      </c>
      <c r="D299" s="15" t="s">
        <v>56</v>
      </c>
      <c r="E299" s="3" t="s">
        <v>56</v>
      </c>
      <c r="F299" s="3" t="s">
        <v>56</v>
      </c>
    </row>
    <row r="300" spans="1:6" x14ac:dyDescent="0.3">
      <c r="A300" t="s">
        <v>101</v>
      </c>
      <c r="B300" s="7">
        <v>5</v>
      </c>
      <c r="C300" t="s">
        <v>43</v>
      </c>
      <c r="D300" s="15">
        <v>9869</v>
      </c>
      <c r="E300" s="3">
        <v>2467</v>
      </c>
      <c r="F300" s="3">
        <v>7402</v>
      </c>
    </row>
    <row r="301" spans="1:6" x14ac:dyDescent="0.3">
      <c r="A301" t="s">
        <v>101</v>
      </c>
      <c r="B301" s="7">
        <v>5</v>
      </c>
      <c r="C301" t="s">
        <v>44</v>
      </c>
      <c r="D301" s="15">
        <v>30592</v>
      </c>
      <c r="E301" s="3">
        <v>14092</v>
      </c>
      <c r="F301" s="3">
        <v>16501</v>
      </c>
    </row>
    <row r="302" spans="1:6" x14ac:dyDescent="0.3">
      <c r="A302" t="s">
        <v>101</v>
      </c>
      <c r="B302" s="7">
        <v>5</v>
      </c>
      <c r="C302" t="s">
        <v>45</v>
      </c>
      <c r="D302" s="15">
        <v>183166</v>
      </c>
      <c r="E302" s="3">
        <v>163443</v>
      </c>
      <c r="F302" s="3">
        <v>19723</v>
      </c>
    </row>
    <row r="303" spans="1:6" x14ac:dyDescent="0.3">
      <c r="A303" t="s">
        <v>101</v>
      </c>
      <c r="B303" s="7">
        <v>5</v>
      </c>
      <c r="C303" t="s">
        <v>195</v>
      </c>
      <c r="D303" s="20">
        <v>6.4999999999999997E-3</v>
      </c>
    </row>
    <row r="304" spans="1:6" x14ac:dyDescent="0.3">
      <c r="A304" t="s">
        <v>101</v>
      </c>
      <c r="B304" s="7">
        <v>5</v>
      </c>
      <c r="C304" t="s">
        <v>196</v>
      </c>
      <c r="D304" s="20">
        <v>1.2999999999999999E-3</v>
      </c>
    </row>
    <row r="305" spans="1:7" ht="28.8" x14ac:dyDescent="0.3">
      <c r="A305" s="10" t="s">
        <v>101</v>
      </c>
      <c r="B305" s="7">
        <v>5</v>
      </c>
      <c r="C305" s="10" t="s">
        <v>20</v>
      </c>
      <c r="D305" s="22" t="s">
        <v>125</v>
      </c>
      <c r="E305" s="5" t="s">
        <v>69</v>
      </c>
      <c r="F305" s="6" t="s">
        <v>59</v>
      </c>
    </row>
    <row r="306" spans="1:7" x14ac:dyDescent="0.3">
      <c r="A306" t="s">
        <v>101</v>
      </c>
      <c r="B306" s="7">
        <v>5</v>
      </c>
      <c r="C306" t="s">
        <v>42</v>
      </c>
      <c r="D306" s="15" t="s">
        <v>56</v>
      </c>
      <c r="E306" s="3" t="s">
        <v>56</v>
      </c>
      <c r="F306" s="3" t="s">
        <v>56</v>
      </c>
    </row>
    <row r="307" spans="1:7" x14ac:dyDescent="0.3">
      <c r="A307" t="s">
        <v>101</v>
      </c>
      <c r="B307" s="7">
        <v>5</v>
      </c>
      <c r="C307" t="s">
        <v>43</v>
      </c>
      <c r="D307" s="15">
        <v>9869</v>
      </c>
      <c r="E307" s="3">
        <v>14996</v>
      </c>
      <c r="F307" s="3">
        <v>-5127</v>
      </c>
    </row>
    <row r="308" spans="1:7" x14ac:dyDescent="0.3">
      <c r="A308" t="s">
        <v>101</v>
      </c>
      <c r="B308" s="7">
        <v>5</v>
      </c>
      <c r="C308" t="s">
        <v>44</v>
      </c>
      <c r="D308" s="15">
        <v>30592</v>
      </c>
      <c r="E308" s="3">
        <v>106133</v>
      </c>
      <c r="F308" s="3">
        <v>-75541</v>
      </c>
    </row>
    <row r="309" spans="1:7" x14ac:dyDescent="0.3">
      <c r="A309" t="s">
        <v>101</v>
      </c>
      <c r="B309" s="7">
        <v>5</v>
      </c>
      <c r="C309" t="s">
        <v>45</v>
      </c>
      <c r="D309" s="15">
        <v>183166</v>
      </c>
      <c r="E309" s="3">
        <v>88755</v>
      </c>
      <c r="F309" s="3">
        <v>94411</v>
      </c>
    </row>
    <row r="310" spans="1:7" x14ac:dyDescent="0.3">
      <c r="A310" t="s">
        <v>101</v>
      </c>
      <c r="B310" s="7">
        <v>5</v>
      </c>
      <c r="C310" t="s">
        <v>200</v>
      </c>
      <c r="D310" s="15" t="s">
        <v>56</v>
      </c>
    </row>
    <row r="311" spans="1:7" x14ac:dyDescent="0.3">
      <c r="A311" t="s">
        <v>101</v>
      </c>
      <c r="B311" s="7">
        <v>5</v>
      </c>
      <c r="C311" t="s">
        <v>201</v>
      </c>
      <c r="D311" s="15" t="s">
        <v>56</v>
      </c>
    </row>
    <row r="312" spans="1:7" x14ac:dyDescent="0.3">
      <c r="A312" t="s">
        <v>101</v>
      </c>
      <c r="B312" s="7">
        <v>5</v>
      </c>
      <c r="C312" t="s">
        <v>47</v>
      </c>
      <c r="D312" s="15">
        <v>704128</v>
      </c>
      <c r="E312" s="3">
        <v>662332</v>
      </c>
      <c r="F312" s="3">
        <v>41795</v>
      </c>
      <c r="G312" s="4">
        <v>6.3100000000000003E-2</v>
      </c>
    </row>
    <row r="313" spans="1:7" x14ac:dyDescent="0.3">
      <c r="A313" t="s">
        <v>101</v>
      </c>
      <c r="B313" s="7">
        <v>5</v>
      </c>
      <c r="C313" t="s">
        <v>48</v>
      </c>
      <c r="D313" s="15">
        <v>589728</v>
      </c>
      <c r="E313" s="3">
        <v>543106</v>
      </c>
      <c r="F313" s="3">
        <v>46622</v>
      </c>
      <c r="G313" s="4">
        <v>8.5800000000000001E-2</v>
      </c>
    </row>
    <row r="314" spans="1:7" x14ac:dyDescent="0.3">
      <c r="A314" t="s">
        <v>113</v>
      </c>
      <c r="B314" s="7">
        <v>6</v>
      </c>
      <c r="C314" t="s">
        <v>197</v>
      </c>
      <c r="D314" s="15">
        <v>3495293</v>
      </c>
    </row>
    <row r="315" spans="1:7" x14ac:dyDescent="0.3">
      <c r="A315" t="s">
        <v>113</v>
      </c>
      <c r="B315" s="7">
        <v>6</v>
      </c>
      <c r="C315" t="s">
        <v>24</v>
      </c>
      <c r="D315" s="15" t="s">
        <v>56</v>
      </c>
    </row>
    <row r="316" spans="1:7" x14ac:dyDescent="0.3">
      <c r="A316" t="s">
        <v>113</v>
      </c>
      <c r="B316" s="7">
        <v>6</v>
      </c>
      <c r="C316" t="s">
        <v>25</v>
      </c>
      <c r="D316" s="15" t="s">
        <v>56</v>
      </c>
    </row>
    <row r="317" spans="1:7" x14ac:dyDescent="0.3">
      <c r="A317" t="s">
        <v>113</v>
      </c>
      <c r="B317" s="7">
        <v>6</v>
      </c>
      <c r="C317" t="s">
        <v>26</v>
      </c>
      <c r="D317" s="15">
        <v>475784</v>
      </c>
    </row>
    <row r="318" spans="1:7" x14ac:dyDescent="0.3">
      <c r="A318" t="s">
        <v>113</v>
      </c>
      <c r="B318" s="7">
        <v>6</v>
      </c>
      <c r="C318" t="s">
        <v>27</v>
      </c>
      <c r="D318" s="15">
        <v>353376</v>
      </c>
    </row>
    <row r="319" spans="1:7" x14ac:dyDescent="0.3">
      <c r="A319" t="s">
        <v>113</v>
      </c>
      <c r="B319" s="7">
        <v>6</v>
      </c>
      <c r="C319" t="s">
        <v>198</v>
      </c>
      <c r="D319" s="15">
        <v>305600</v>
      </c>
    </row>
    <row r="320" spans="1:7" x14ac:dyDescent="0.3">
      <c r="A320" t="s">
        <v>113</v>
      </c>
      <c r="B320" s="7">
        <v>6</v>
      </c>
      <c r="C320" t="s">
        <v>28</v>
      </c>
      <c r="D320" s="15">
        <v>15611</v>
      </c>
    </row>
    <row r="321" spans="1:4" x14ac:dyDescent="0.3">
      <c r="A321" t="s">
        <v>113</v>
      </c>
      <c r="B321" s="7">
        <v>6</v>
      </c>
      <c r="C321" t="s">
        <v>29</v>
      </c>
      <c r="D321" s="15" t="s">
        <v>56</v>
      </c>
    </row>
    <row r="322" spans="1:4" x14ac:dyDescent="0.3">
      <c r="A322" t="s">
        <v>113</v>
      </c>
      <c r="B322" s="7">
        <v>6</v>
      </c>
      <c r="C322" t="s">
        <v>30</v>
      </c>
      <c r="D322" s="15" t="s">
        <v>56</v>
      </c>
    </row>
    <row r="323" spans="1:4" x14ac:dyDescent="0.3">
      <c r="A323" t="s">
        <v>113</v>
      </c>
      <c r="B323" s="7">
        <v>6</v>
      </c>
      <c r="C323" t="s">
        <v>53</v>
      </c>
      <c r="D323" s="15">
        <v>-92361</v>
      </c>
    </row>
    <row r="324" spans="1:4" x14ac:dyDescent="0.3">
      <c r="A324" t="s">
        <v>113</v>
      </c>
      <c r="B324" s="7">
        <v>6</v>
      </c>
      <c r="C324" t="s">
        <v>31</v>
      </c>
      <c r="D324" s="15">
        <v>4553302</v>
      </c>
    </row>
    <row r="325" spans="1:4" x14ac:dyDescent="0.3">
      <c r="A325" t="s">
        <v>113</v>
      </c>
      <c r="B325" s="7">
        <v>6</v>
      </c>
      <c r="C325" t="s">
        <v>199</v>
      </c>
      <c r="D325" s="15">
        <v>407612</v>
      </c>
    </row>
    <row r="326" spans="1:4" x14ac:dyDescent="0.3">
      <c r="A326" t="s">
        <v>113</v>
      </c>
      <c r="B326" s="7">
        <v>6</v>
      </c>
      <c r="C326" t="s">
        <v>32</v>
      </c>
      <c r="D326" s="15">
        <v>4790</v>
      </c>
    </row>
    <row r="327" spans="1:4" x14ac:dyDescent="0.3">
      <c r="A327" t="s">
        <v>113</v>
      </c>
      <c r="B327" s="7">
        <v>6</v>
      </c>
      <c r="C327" t="s">
        <v>33</v>
      </c>
      <c r="D327" s="15">
        <v>300</v>
      </c>
    </row>
    <row r="328" spans="1:4" x14ac:dyDescent="0.3">
      <c r="A328" t="s">
        <v>113</v>
      </c>
      <c r="B328" s="7">
        <v>6</v>
      </c>
      <c r="C328" t="s">
        <v>34</v>
      </c>
      <c r="D328" s="15">
        <v>412702</v>
      </c>
    </row>
    <row r="329" spans="1:4" x14ac:dyDescent="0.3">
      <c r="A329" t="s">
        <v>113</v>
      </c>
      <c r="B329" s="7">
        <v>6</v>
      </c>
      <c r="C329" t="s">
        <v>35</v>
      </c>
      <c r="D329" s="15">
        <v>4553302</v>
      </c>
    </row>
    <row r="330" spans="1:4" x14ac:dyDescent="0.3">
      <c r="A330" t="s">
        <v>113</v>
      </c>
      <c r="B330" s="7">
        <v>6</v>
      </c>
      <c r="C330" t="s">
        <v>36</v>
      </c>
      <c r="D330" s="15">
        <v>412702</v>
      </c>
    </row>
    <row r="331" spans="1:4" x14ac:dyDescent="0.3">
      <c r="A331" t="s">
        <v>113</v>
      </c>
      <c r="B331" s="7">
        <v>6</v>
      </c>
      <c r="C331" t="s">
        <v>37</v>
      </c>
      <c r="D331" s="15">
        <v>4966004</v>
      </c>
    </row>
    <row r="332" spans="1:4" x14ac:dyDescent="0.3">
      <c r="A332" t="s">
        <v>113</v>
      </c>
      <c r="B332" s="7">
        <v>6</v>
      </c>
      <c r="C332" t="s">
        <v>38</v>
      </c>
      <c r="D332" s="20">
        <v>0.1239</v>
      </c>
    </row>
    <row r="333" spans="1:4" x14ac:dyDescent="0.3">
      <c r="A333" t="s">
        <v>113</v>
      </c>
      <c r="B333" s="7">
        <v>6</v>
      </c>
      <c r="C333" t="s">
        <v>39</v>
      </c>
      <c r="D333" s="20">
        <v>0.1351</v>
      </c>
    </row>
    <row r="334" spans="1:4" x14ac:dyDescent="0.3">
      <c r="A334" t="s">
        <v>113</v>
      </c>
      <c r="B334" s="7">
        <v>6</v>
      </c>
      <c r="C334" t="s">
        <v>194</v>
      </c>
      <c r="D334" s="15">
        <v>32994232</v>
      </c>
    </row>
    <row r="335" spans="1:4" x14ac:dyDescent="0.3">
      <c r="A335" t="s">
        <v>113</v>
      </c>
      <c r="B335" s="7">
        <v>6</v>
      </c>
      <c r="C335" t="s">
        <v>181</v>
      </c>
      <c r="D335" s="15">
        <v>2034860</v>
      </c>
    </row>
    <row r="336" spans="1:4" x14ac:dyDescent="0.3">
      <c r="A336" t="s">
        <v>113</v>
      </c>
      <c r="B336" s="7">
        <v>6</v>
      </c>
      <c r="C336" t="s">
        <v>182</v>
      </c>
      <c r="D336" s="15">
        <v>20016</v>
      </c>
    </row>
    <row r="337" spans="1:4" x14ac:dyDescent="0.3">
      <c r="A337" t="s">
        <v>113</v>
      </c>
      <c r="B337" s="7">
        <v>6</v>
      </c>
      <c r="C337" t="s">
        <v>202</v>
      </c>
      <c r="D337" s="15">
        <v>1711897</v>
      </c>
    </row>
    <row r="338" spans="1:4" x14ac:dyDescent="0.3">
      <c r="A338" t="s">
        <v>113</v>
      </c>
      <c r="B338" s="7">
        <v>6</v>
      </c>
      <c r="C338" t="s">
        <v>203</v>
      </c>
      <c r="D338" s="15">
        <v>36761004</v>
      </c>
    </row>
    <row r="339" spans="1:4" x14ac:dyDescent="0.3">
      <c r="A339" t="s">
        <v>113</v>
      </c>
      <c r="B339" s="7">
        <v>6</v>
      </c>
      <c r="C339" t="s">
        <v>184</v>
      </c>
      <c r="D339" s="15">
        <v>3399</v>
      </c>
    </row>
    <row r="340" spans="1:4" x14ac:dyDescent="0.3">
      <c r="A340" t="s">
        <v>113</v>
      </c>
      <c r="B340" s="7">
        <v>6</v>
      </c>
      <c r="C340" t="s">
        <v>185</v>
      </c>
      <c r="D340" s="15" t="s">
        <v>56</v>
      </c>
    </row>
    <row r="341" spans="1:4" x14ac:dyDescent="0.3">
      <c r="A341" t="s">
        <v>113</v>
      </c>
      <c r="B341" s="7">
        <v>6</v>
      </c>
      <c r="C341" t="s">
        <v>186</v>
      </c>
      <c r="D341" s="15">
        <v>10202014</v>
      </c>
    </row>
    <row r="342" spans="1:4" x14ac:dyDescent="0.3">
      <c r="A342" t="s">
        <v>113</v>
      </c>
      <c r="B342" s="7">
        <v>6</v>
      </c>
      <c r="C342" t="s">
        <v>187</v>
      </c>
      <c r="D342" s="15">
        <v>6035823</v>
      </c>
    </row>
    <row r="343" spans="1:4" x14ac:dyDescent="0.3">
      <c r="A343" t="s">
        <v>113</v>
      </c>
      <c r="B343" s="7">
        <v>6</v>
      </c>
      <c r="C343" t="s">
        <v>188</v>
      </c>
      <c r="D343" s="15">
        <v>20768664</v>
      </c>
    </row>
    <row r="344" spans="1:4" x14ac:dyDescent="0.3">
      <c r="A344" t="s">
        <v>113</v>
      </c>
      <c r="B344" s="7">
        <v>6</v>
      </c>
      <c r="C344" t="s">
        <v>189</v>
      </c>
      <c r="D344" s="15">
        <v>3817975</v>
      </c>
    </row>
    <row r="345" spans="1:4" x14ac:dyDescent="0.3">
      <c r="A345" t="s">
        <v>113</v>
      </c>
      <c r="B345" s="7">
        <v>6</v>
      </c>
      <c r="C345" t="s">
        <v>190</v>
      </c>
      <c r="D345" s="15">
        <v>36016</v>
      </c>
    </row>
    <row r="346" spans="1:4" x14ac:dyDescent="0.3">
      <c r="A346" t="s">
        <v>113</v>
      </c>
      <c r="B346" s="7">
        <v>6</v>
      </c>
      <c r="C346" t="s">
        <v>191</v>
      </c>
      <c r="D346" s="15">
        <v>239805</v>
      </c>
    </row>
    <row r="347" spans="1:4" x14ac:dyDescent="0.3">
      <c r="A347" t="s">
        <v>113</v>
      </c>
      <c r="B347" s="7">
        <v>6</v>
      </c>
      <c r="C347" t="s">
        <v>192</v>
      </c>
      <c r="D347" s="15">
        <v>2568480</v>
      </c>
    </row>
    <row r="348" spans="1:4" x14ac:dyDescent="0.3">
      <c r="A348" t="s">
        <v>113</v>
      </c>
      <c r="B348" s="7">
        <v>6</v>
      </c>
      <c r="C348" t="s">
        <v>40</v>
      </c>
      <c r="D348" s="15">
        <v>763069</v>
      </c>
    </row>
    <row r="349" spans="1:4" x14ac:dyDescent="0.3">
      <c r="A349" t="s">
        <v>113</v>
      </c>
      <c r="B349" s="7">
        <v>6</v>
      </c>
      <c r="C349" t="s">
        <v>41</v>
      </c>
      <c r="D349" s="15">
        <v>3190354</v>
      </c>
    </row>
    <row r="350" spans="1:4" x14ac:dyDescent="0.3">
      <c r="A350" t="s">
        <v>113</v>
      </c>
      <c r="B350" s="7">
        <v>6</v>
      </c>
      <c r="C350" t="s">
        <v>193</v>
      </c>
      <c r="D350" s="15">
        <v>1438108</v>
      </c>
    </row>
    <row r="351" spans="1:4" x14ac:dyDescent="0.3">
      <c r="A351" t="s">
        <v>113</v>
      </c>
      <c r="B351" s="7">
        <v>6</v>
      </c>
      <c r="C351" t="s">
        <v>194</v>
      </c>
      <c r="D351" s="15">
        <v>32994232</v>
      </c>
    </row>
    <row r="352" spans="1:4" x14ac:dyDescent="0.3">
      <c r="A352" t="s">
        <v>113</v>
      </c>
      <c r="B352" s="7">
        <v>6</v>
      </c>
      <c r="C352" t="s">
        <v>181</v>
      </c>
      <c r="D352" s="15">
        <v>2034860</v>
      </c>
    </row>
    <row r="353" spans="1:6" x14ac:dyDescent="0.3">
      <c r="A353" t="s">
        <v>113</v>
      </c>
      <c r="B353" s="7">
        <v>6</v>
      </c>
      <c r="C353" t="s">
        <v>182</v>
      </c>
      <c r="D353" s="15">
        <v>20016</v>
      </c>
    </row>
    <row r="354" spans="1:6" x14ac:dyDescent="0.3">
      <c r="A354" t="s">
        <v>113</v>
      </c>
      <c r="B354" s="7">
        <v>6</v>
      </c>
      <c r="C354" t="s">
        <v>202</v>
      </c>
      <c r="D354" s="15">
        <v>1711897</v>
      </c>
    </row>
    <row r="355" spans="1:6" x14ac:dyDescent="0.3">
      <c r="A355" t="s">
        <v>113</v>
      </c>
      <c r="B355" s="7">
        <v>6</v>
      </c>
      <c r="C355" t="s">
        <v>203</v>
      </c>
      <c r="D355" s="15">
        <v>36761004</v>
      </c>
    </row>
    <row r="356" spans="1:6" x14ac:dyDescent="0.3">
      <c r="A356" t="s">
        <v>113</v>
      </c>
      <c r="B356" s="7">
        <v>6</v>
      </c>
      <c r="C356" t="s">
        <v>21</v>
      </c>
      <c r="D356" s="15">
        <v>4966004.4400000004</v>
      </c>
    </row>
    <row r="357" spans="1:6" x14ac:dyDescent="0.3">
      <c r="A357" t="s">
        <v>113</v>
      </c>
      <c r="B357" s="7">
        <v>6</v>
      </c>
      <c r="C357" t="s">
        <v>22</v>
      </c>
      <c r="D357" s="20">
        <v>0.1351</v>
      </c>
    </row>
    <row r="358" spans="1:6" x14ac:dyDescent="0.3">
      <c r="A358" s="10" t="s">
        <v>113</v>
      </c>
      <c r="B358" s="7">
        <v>6</v>
      </c>
      <c r="C358" s="10" t="s">
        <v>20</v>
      </c>
      <c r="D358" s="21" t="s">
        <v>57</v>
      </c>
      <c r="E358" s="6" t="s">
        <v>64</v>
      </c>
      <c r="F358" s="6" t="s">
        <v>58</v>
      </c>
    </row>
    <row r="359" spans="1:6" x14ac:dyDescent="0.3">
      <c r="A359" t="s">
        <v>113</v>
      </c>
      <c r="B359" s="7">
        <v>6</v>
      </c>
      <c r="C359" t="s">
        <v>42</v>
      </c>
      <c r="D359" s="15">
        <v>9550</v>
      </c>
      <c r="E359" s="3">
        <v>1194</v>
      </c>
      <c r="F359" s="3" t="s">
        <v>56</v>
      </c>
    </row>
    <row r="360" spans="1:6" x14ac:dyDescent="0.3">
      <c r="A360" t="s">
        <v>113</v>
      </c>
      <c r="B360" s="7">
        <v>6</v>
      </c>
      <c r="C360" t="s">
        <v>43</v>
      </c>
      <c r="D360" s="15">
        <v>24894</v>
      </c>
      <c r="E360" s="3">
        <v>6220</v>
      </c>
      <c r="F360" s="3">
        <v>18674</v>
      </c>
    </row>
    <row r="361" spans="1:6" x14ac:dyDescent="0.3">
      <c r="A361" t="s">
        <v>113</v>
      </c>
      <c r="B361" s="7">
        <v>6</v>
      </c>
      <c r="C361" t="s">
        <v>44</v>
      </c>
      <c r="D361" s="15">
        <v>23230</v>
      </c>
      <c r="E361" s="3">
        <v>9474</v>
      </c>
      <c r="F361" s="3">
        <v>13756</v>
      </c>
    </row>
    <row r="362" spans="1:6" x14ac:dyDescent="0.3">
      <c r="A362" t="s">
        <v>113</v>
      </c>
      <c r="B362" s="7">
        <v>6</v>
      </c>
      <c r="C362" t="s">
        <v>45</v>
      </c>
      <c r="D362" s="15">
        <v>199601</v>
      </c>
      <c r="E362" s="3">
        <v>172943</v>
      </c>
      <c r="F362" s="3">
        <v>26658</v>
      </c>
    </row>
    <row r="363" spans="1:6" x14ac:dyDescent="0.3">
      <c r="A363" t="s">
        <v>113</v>
      </c>
      <c r="B363" s="7">
        <v>6</v>
      </c>
      <c r="C363" t="s">
        <v>195</v>
      </c>
      <c r="D363" s="20">
        <v>6.7999999999999996E-3</v>
      </c>
    </row>
    <row r="364" spans="1:6" x14ac:dyDescent="0.3">
      <c r="A364" t="s">
        <v>113</v>
      </c>
      <c r="B364" s="7">
        <v>6</v>
      </c>
      <c r="C364" t="s">
        <v>196</v>
      </c>
      <c r="D364" s="20">
        <v>1.6000000000000001E-3</v>
      </c>
    </row>
    <row r="365" spans="1:6" ht="28.8" x14ac:dyDescent="0.3">
      <c r="A365" s="10" t="s">
        <v>113</v>
      </c>
      <c r="B365" s="7">
        <v>6</v>
      </c>
      <c r="C365" s="10" t="s">
        <v>20</v>
      </c>
      <c r="D365" s="22" t="s">
        <v>142</v>
      </c>
      <c r="E365" s="5" t="s">
        <v>87</v>
      </c>
      <c r="F365" s="6" t="s">
        <v>59</v>
      </c>
    </row>
    <row r="366" spans="1:6" x14ac:dyDescent="0.3">
      <c r="A366" t="s">
        <v>113</v>
      </c>
      <c r="B366" s="7">
        <v>6</v>
      </c>
      <c r="C366" t="s">
        <v>42</v>
      </c>
      <c r="D366" s="15">
        <v>9550</v>
      </c>
      <c r="E366" s="3" t="s">
        <v>56</v>
      </c>
      <c r="F366" s="3">
        <v>9550</v>
      </c>
    </row>
    <row r="367" spans="1:6" x14ac:dyDescent="0.3">
      <c r="A367" t="s">
        <v>113</v>
      </c>
      <c r="B367" s="7">
        <v>6</v>
      </c>
      <c r="C367" t="s">
        <v>43</v>
      </c>
      <c r="D367" s="15">
        <v>24894</v>
      </c>
      <c r="E367" s="3">
        <v>9869</v>
      </c>
      <c r="F367" s="3">
        <v>15026</v>
      </c>
    </row>
    <row r="368" spans="1:6" x14ac:dyDescent="0.3">
      <c r="A368" t="s">
        <v>113</v>
      </c>
      <c r="B368" s="7">
        <v>6</v>
      </c>
      <c r="C368" t="s">
        <v>44</v>
      </c>
      <c r="D368" s="15">
        <v>23230</v>
      </c>
      <c r="E368" s="3">
        <v>30592</v>
      </c>
      <c r="F368" s="3">
        <v>-7363</v>
      </c>
    </row>
    <row r="369" spans="1:7" x14ac:dyDescent="0.3">
      <c r="A369" t="s">
        <v>113</v>
      </c>
      <c r="B369" s="7">
        <v>6</v>
      </c>
      <c r="C369" t="s">
        <v>45</v>
      </c>
      <c r="D369" s="15">
        <v>199601</v>
      </c>
      <c r="E369" s="3">
        <v>183166</v>
      </c>
      <c r="F369" s="3">
        <v>16436</v>
      </c>
    </row>
    <row r="370" spans="1:7" x14ac:dyDescent="0.3">
      <c r="A370" t="s">
        <v>113</v>
      </c>
      <c r="B370" s="7">
        <v>6</v>
      </c>
      <c r="C370" t="s">
        <v>200</v>
      </c>
      <c r="D370" s="15" t="s">
        <v>56</v>
      </c>
    </row>
    <row r="371" spans="1:7" x14ac:dyDescent="0.3">
      <c r="A371" t="s">
        <v>113</v>
      </c>
      <c r="B371" s="7">
        <v>6</v>
      </c>
      <c r="C371" t="s">
        <v>201</v>
      </c>
      <c r="D371" s="15" t="s">
        <v>56</v>
      </c>
    </row>
    <row r="372" spans="1:7" ht="28.8" x14ac:dyDescent="0.3">
      <c r="A372" s="10" t="s">
        <v>113</v>
      </c>
      <c r="B372" s="7">
        <v>6</v>
      </c>
      <c r="C372" s="10" t="s">
        <v>46</v>
      </c>
      <c r="D372" s="22" t="s">
        <v>143</v>
      </c>
      <c r="E372" s="5" t="s">
        <v>87</v>
      </c>
      <c r="F372" s="6" t="s">
        <v>59</v>
      </c>
      <c r="G372" s="8" t="s">
        <v>61</v>
      </c>
    </row>
    <row r="373" spans="1:7" x14ac:dyDescent="0.3">
      <c r="A373" t="s">
        <v>113</v>
      </c>
      <c r="B373" s="7">
        <v>6</v>
      </c>
      <c r="C373" t="s">
        <v>47</v>
      </c>
      <c r="D373" s="15">
        <v>597442</v>
      </c>
      <c r="E373" s="3">
        <v>704128</v>
      </c>
      <c r="F373" s="3">
        <v>-106686</v>
      </c>
      <c r="G373" s="4">
        <v>-0.1515</v>
      </c>
    </row>
    <row r="374" spans="1:7" x14ac:dyDescent="0.3">
      <c r="A374" t="s">
        <v>113</v>
      </c>
      <c r="B374" s="7">
        <v>6</v>
      </c>
      <c r="C374" t="s">
        <v>48</v>
      </c>
      <c r="D374" s="15">
        <v>415050</v>
      </c>
      <c r="E374" s="3">
        <v>589728</v>
      </c>
      <c r="F374" s="3">
        <v>-174678</v>
      </c>
      <c r="G374" s="4">
        <v>-0.29620000000000002</v>
      </c>
    </row>
    <row r="375" spans="1:7" x14ac:dyDescent="0.3">
      <c r="A375" t="s">
        <v>112</v>
      </c>
      <c r="B375" s="7">
        <v>7</v>
      </c>
      <c r="C375" t="s">
        <v>197</v>
      </c>
      <c r="D375" s="15">
        <v>3844823</v>
      </c>
    </row>
    <row r="376" spans="1:7" x14ac:dyDescent="0.3">
      <c r="A376" t="s">
        <v>112</v>
      </c>
      <c r="B376" s="7">
        <v>7</v>
      </c>
      <c r="C376" t="s">
        <v>24</v>
      </c>
      <c r="D376" s="15" t="s">
        <v>56</v>
      </c>
    </row>
    <row r="377" spans="1:7" x14ac:dyDescent="0.3">
      <c r="A377" t="s">
        <v>112</v>
      </c>
      <c r="B377" s="7">
        <v>7</v>
      </c>
      <c r="C377" t="s">
        <v>25</v>
      </c>
      <c r="D377" s="15" t="s">
        <v>56</v>
      </c>
    </row>
    <row r="378" spans="1:7" x14ac:dyDescent="0.3">
      <c r="A378" t="s">
        <v>112</v>
      </c>
      <c r="B378" s="7">
        <v>7</v>
      </c>
      <c r="C378" t="s">
        <v>26</v>
      </c>
      <c r="D378" s="15">
        <v>475784</v>
      </c>
    </row>
    <row r="379" spans="1:7" x14ac:dyDescent="0.3">
      <c r="A379" t="s">
        <v>112</v>
      </c>
      <c r="B379" s="7">
        <v>7</v>
      </c>
      <c r="C379" t="s">
        <v>27</v>
      </c>
      <c r="D379" s="15">
        <v>3846</v>
      </c>
    </row>
    <row r="380" spans="1:7" x14ac:dyDescent="0.3">
      <c r="A380" t="s">
        <v>112</v>
      </c>
      <c r="B380" s="7">
        <v>7</v>
      </c>
      <c r="C380" t="s">
        <v>198</v>
      </c>
      <c r="D380" s="15">
        <v>602513</v>
      </c>
    </row>
    <row r="381" spans="1:7" x14ac:dyDescent="0.3">
      <c r="A381" t="s">
        <v>112</v>
      </c>
      <c r="B381" s="7">
        <v>7</v>
      </c>
      <c r="C381" t="s">
        <v>28</v>
      </c>
      <c r="D381" s="15">
        <v>15611</v>
      </c>
    </row>
    <row r="382" spans="1:7" x14ac:dyDescent="0.3">
      <c r="A382" t="s">
        <v>112</v>
      </c>
      <c r="B382" s="7">
        <v>7</v>
      </c>
      <c r="C382" t="s">
        <v>29</v>
      </c>
      <c r="D382" s="15" t="s">
        <v>56</v>
      </c>
    </row>
    <row r="383" spans="1:7" x14ac:dyDescent="0.3">
      <c r="A383" t="s">
        <v>112</v>
      </c>
      <c r="B383" s="7">
        <v>7</v>
      </c>
      <c r="C383" t="s">
        <v>30</v>
      </c>
      <c r="D383" s="15" t="s">
        <v>56</v>
      </c>
    </row>
    <row r="384" spans="1:7" x14ac:dyDescent="0.3">
      <c r="A384" t="s">
        <v>112</v>
      </c>
      <c r="B384" s="7">
        <v>7</v>
      </c>
      <c r="C384" t="s">
        <v>53</v>
      </c>
      <c r="D384" s="15">
        <v>-49676</v>
      </c>
    </row>
    <row r="385" spans="1:4" x14ac:dyDescent="0.3">
      <c r="A385" t="s">
        <v>112</v>
      </c>
      <c r="B385" s="7">
        <v>7</v>
      </c>
      <c r="C385" t="s">
        <v>31</v>
      </c>
      <c r="D385" s="15">
        <v>4892901</v>
      </c>
    </row>
    <row r="386" spans="1:4" x14ac:dyDescent="0.3">
      <c r="A386" t="s">
        <v>112</v>
      </c>
      <c r="B386" s="7">
        <v>7</v>
      </c>
      <c r="C386" t="s">
        <v>199</v>
      </c>
      <c r="D386" s="15">
        <v>468603</v>
      </c>
    </row>
    <row r="387" spans="1:4" x14ac:dyDescent="0.3">
      <c r="A387" t="s">
        <v>112</v>
      </c>
      <c r="B387" s="7">
        <v>7</v>
      </c>
      <c r="C387" t="s">
        <v>32</v>
      </c>
      <c r="D387" s="15">
        <v>4790</v>
      </c>
    </row>
    <row r="388" spans="1:4" x14ac:dyDescent="0.3">
      <c r="A388" t="s">
        <v>112</v>
      </c>
      <c r="B388" s="7">
        <v>7</v>
      </c>
      <c r="C388" t="s">
        <v>33</v>
      </c>
      <c r="D388" s="15">
        <v>300</v>
      </c>
    </row>
    <row r="389" spans="1:4" x14ac:dyDescent="0.3">
      <c r="A389" t="s">
        <v>112</v>
      </c>
      <c r="B389" s="7">
        <v>7</v>
      </c>
      <c r="C389" t="s">
        <v>34</v>
      </c>
      <c r="D389" s="15">
        <v>473693</v>
      </c>
    </row>
    <row r="390" spans="1:4" x14ac:dyDescent="0.3">
      <c r="A390" t="s">
        <v>112</v>
      </c>
      <c r="B390" s="7">
        <v>7</v>
      </c>
      <c r="C390" t="s">
        <v>35</v>
      </c>
      <c r="D390" s="15">
        <v>4892901</v>
      </c>
    </row>
    <row r="391" spans="1:4" x14ac:dyDescent="0.3">
      <c r="A391" t="s">
        <v>112</v>
      </c>
      <c r="B391" s="7">
        <v>7</v>
      </c>
      <c r="C391" t="s">
        <v>36</v>
      </c>
      <c r="D391" s="15">
        <v>473693</v>
      </c>
    </row>
    <row r="392" spans="1:4" x14ac:dyDescent="0.3">
      <c r="A392" t="s">
        <v>112</v>
      </c>
      <c r="B392" s="7">
        <v>7</v>
      </c>
      <c r="C392" t="s">
        <v>37</v>
      </c>
      <c r="D392" s="15">
        <v>5366594</v>
      </c>
    </row>
    <row r="393" spans="1:4" x14ac:dyDescent="0.3">
      <c r="A393" t="s">
        <v>112</v>
      </c>
      <c r="B393" s="7">
        <v>7</v>
      </c>
      <c r="C393" t="s">
        <v>38</v>
      </c>
      <c r="D393" s="20">
        <v>0.11559999999999999</v>
      </c>
    </row>
    <row r="394" spans="1:4" x14ac:dyDescent="0.3">
      <c r="A394" t="s">
        <v>112</v>
      </c>
      <c r="B394" s="7">
        <v>7</v>
      </c>
      <c r="C394" t="s">
        <v>39</v>
      </c>
      <c r="D394" s="20">
        <v>0.1268</v>
      </c>
    </row>
    <row r="395" spans="1:4" x14ac:dyDescent="0.3">
      <c r="A395" t="s">
        <v>112</v>
      </c>
      <c r="B395" s="7">
        <v>7</v>
      </c>
      <c r="C395" t="s">
        <v>194</v>
      </c>
      <c r="D395" s="15">
        <v>37282532</v>
      </c>
    </row>
    <row r="396" spans="1:4" x14ac:dyDescent="0.3">
      <c r="A396" t="s">
        <v>112</v>
      </c>
      <c r="B396" s="7">
        <v>7</v>
      </c>
      <c r="C396" t="s">
        <v>181</v>
      </c>
      <c r="D396" s="15">
        <v>2144917</v>
      </c>
    </row>
    <row r="397" spans="1:4" x14ac:dyDescent="0.3">
      <c r="A397" t="s">
        <v>112</v>
      </c>
      <c r="B397" s="7">
        <v>7</v>
      </c>
      <c r="C397" t="s">
        <v>182</v>
      </c>
      <c r="D397" s="15">
        <v>29079</v>
      </c>
    </row>
    <row r="398" spans="1:4" x14ac:dyDescent="0.3">
      <c r="A398" t="s">
        <v>112</v>
      </c>
      <c r="B398" s="7">
        <v>7</v>
      </c>
      <c r="C398" t="s">
        <v>202</v>
      </c>
      <c r="D398" s="15">
        <v>2868868</v>
      </c>
    </row>
    <row r="399" spans="1:4" x14ac:dyDescent="0.3">
      <c r="A399" t="s">
        <v>112</v>
      </c>
      <c r="B399" s="7">
        <v>7</v>
      </c>
      <c r="C399" t="s">
        <v>184</v>
      </c>
      <c r="D399" s="15">
        <v>3366</v>
      </c>
    </row>
    <row r="400" spans="1:4" x14ac:dyDescent="0.3">
      <c r="A400" t="s">
        <v>112</v>
      </c>
      <c r="B400" s="7">
        <v>7</v>
      </c>
      <c r="C400" t="s">
        <v>185</v>
      </c>
      <c r="D400" s="15" t="s">
        <v>56</v>
      </c>
    </row>
    <row r="401" spans="1:4" x14ac:dyDescent="0.3">
      <c r="A401" t="s">
        <v>112</v>
      </c>
      <c r="B401" s="7">
        <v>7</v>
      </c>
      <c r="C401" t="s">
        <v>186</v>
      </c>
      <c r="D401" s="15">
        <v>6498210</v>
      </c>
    </row>
    <row r="402" spans="1:4" x14ac:dyDescent="0.3">
      <c r="A402" t="s">
        <v>112</v>
      </c>
      <c r="B402" s="7">
        <v>7</v>
      </c>
      <c r="C402" t="s">
        <v>187</v>
      </c>
      <c r="D402" s="15">
        <v>8109159</v>
      </c>
    </row>
    <row r="403" spans="1:4" x14ac:dyDescent="0.3">
      <c r="A403" t="s">
        <v>112</v>
      </c>
      <c r="B403" s="7">
        <v>7</v>
      </c>
      <c r="C403" t="s">
        <v>188</v>
      </c>
      <c r="D403" s="15">
        <v>22767546</v>
      </c>
    </row>
    <row r="404" spans="1:4" x14ac:dyDescent="0.3">
      <c r="A404" t="s">
        <v>112</v>
      </c>
      <c r="B404" s="7">
        <v>7</v>
      </c>
      <c r="C404" t="s">
        <v>189</v>
      </c>
      <c r="D404" s="15">
        <v>3943482</v>
      </c>
    </row>
    <row r="405" spans="1:4" x14ac:dyDescent="0.3">
      <c r="A405" t="s">
        <v>112</v>
      </c>
      <c r="B405" s="7">
        <v>7</v>
      </c>
      <c r="C405" t="s">
        <v>190</v>
      </c>
      <c r="D405" s="15">
        <v>203313</v>
      </c>
    </row>
    <row r="406" spans="1:4" x14ac:dyDescent="0.3">
      <c r="A406" t="s">
        <v>112</v>
      </c>
      <c r="B406" s="7">
        <v>7</v>
      </c>
      <c r="C406" t="s">
        <v>191</v>
      </c>
      <c r="D406" s="15">
        <v>247238</v>
      </c>
    </row>
    <row r="407" spans="1:4" x14ac:dyDescent="0.3">
      <c r="A407" t="s">
        <v>112</v>
      </c>
      <c r="B407" s="7">
        <v>7</v>
      </c>
      <c r="C407" t="s">
        <v>192</v>
      </c>
      <c r="D407" s="15">
        <v>2967375</v>
      </c>
    </row>
    <row r="408" spans="1:4" x14ac:dyDescent="0.3">
      <c r="A408" t="s">
        <v>112</v>
      </c>
      <c r="B408" s="7">
        <v>7</v>
      </c>
      <c r="C408" t="s">
        <v>40</v>
      </c>
      <c r="D408" s="15">
        <v>1107440</v>
      </c>
    </row>
    <row r="409" spans="1:4" x14ac:dyDescent="0.3">
      <c r="A409" t="s">
        <v>112</v>
      </c>
      <c r="B409" s="7">
        <v>7</v>
      </c>
      <c r="C409" t="s">
        <v>41</v>
      </c>
      <c r="D409" s="15">
        <v>3453210</v>
      </c>
    </row>
    <row r="410" spans="1:4" x14ac:dyDescent="0.3">
      <c r="A410" t="s">
        <v>112</v>
      </c>
      <c r="B410" s="7">
        <v>7</v>
      </c>
      <c r="C410" t="s">
        <v>193</v>
      </c>
      <c r="D410" s="15">
        <v>2410795</v>
      </c>
    </row>
    <row r="411" spans="1:4" x14ac:dyDescent="0.3">
      <c r="A411" t="s">
        <v>112</v>
      </c>
      <c r="B411" s="7">
        <v>7</v>
      </c>
      <c r="C411" t="s">
        <v>194</v>
      </c>
      <c r="D411" s="15">
        <v>37282532</v>
      </c>
    </row>
    <row r="412" spans="1:4" x14ac:dyDescent="0.3">
      <c r="A412" t="s">
        <v>112</v>
      </c>
      <c r="B412" s="7">
        <v>7</v>
      </c>
      <c r="C412" t="s">
        <v>181</v>
      </c>
      <c r="D412" s="15">
        <v>2144917</v>
      </c>
    </row>
    <row r="413" spans="1:4" x14ac:dyDescent="0.3">
      <c r="A413" t="s">
        <v>112</v>
      </c>
      <c r="B413" s="7">
        <v>7</v>
      </c>
      <c r="C413" t="s">
        <v>182</v>
      </c>
      <c r="D413" s="15">
        <v>29079</v>
      </c>
    </row>
    <row r="414" spans="1:4" x14ac:dyDescent="0.3">
      <c r="A414" t="s">
        <v>112</v>
      </c>
      <c r="B414" s="7">
        <v>7</v>
      </c>
      <c r="C414" t="s">
        <v>202</v>
      </c>
      <c r="D414" s="15">
        <v>2868868</v>
      </c>
    </row>
    <row r="415" spans="1:4" x14ac:dyDescent="0.3">
      <c r="A415" t="s">
        <v>112</v>
      </c>
      <c r="B415" s="7">
        <v>7</v>
      </c>
      <c r="C415" t="s">
        <v>203</v>
      </c>
      <c r="D415" s="15">
        <v>42325395</v>
      </c>
    </row>
    <row r="416" spans="1:4" x14ac:dyDescent="0.3">
      <c r="A416" t="s">
        <v>112</v>
      </c>
      <c r="B416" s="7">
        <v>7</v>
      </c>
      <c r="C416" t="s">
        <v>21</v>
      </c>
      <c r="D416" s="15">
        <v>5366594.3099999996</v>
      </c>
    </row>
    <row r="417" spans="1:7" x14ac:dyDescent="0.3">
      <c r="A417" t="s">
        <v>112</v>
      </c>
      <c r="B417" s="7">
        <v>7</v>
      </c>
      <c r="C417" t="s">
        <v>22</v>
      </c>
      <c r="D417" s="20">
        <v>0.1268</v>
      </c>
    </row>
    <row r="418" spans="1:7" x14ac:dyDescent="0.3">
      <c r="A418" s="10" t="s">
        <v>112</v>
      </c>
      <c r="B418" s="7">
        <v>7</v>
      </c>
      <c r="C418" s="10" t="s">
        <v>20</v>
      </c>
      <c r="D418" s="21" t="s">
        <v>57</v>
      </c>
      <c r="E418" s="6" t="s">
        <v>64</v>
      </c>
      <c r="F418" s="6" t="s">
        <v>58</v>
      </c>
    </row>
    <row r="419" spans="1:7" x14ac:dyDescent="0.3">
      <c r="A419" t="s">
        <v>112</v>
      </c>
      <c r="B419" s="7">
        <v>7</v>
      </c>
      <c r="C419" t="s">
        <v>42</v>
      </c>
      <c r="D419" s="15">
        <v>4805</v>
      </c>
      <c r="E419" s="3">
        <v>601</v>
      </c>
      <c r="F419" s="3" t="s">
        <v>56</v>
      </c>
    </row>
    <row r="420" spans="1:7" x14ac:dyDescent="0.3">
      <c r="A420" t="s">
        <v>112</v>
      </c>
      <c r="B420" s="7">
        <v>7</v>
      </c>
      <c r="C420" t="s">
        <v>43</v>
      </c>
      <c r="D420" s="15">
        <v>37567</v>
      </c>
      <c r="E420" s="3">
        <v>8835</v>
      </c>
      <c r="F420" s="3">
        <v>28732</v>
      </c>
    </row>
    <row r="421" spans="1:7" x14ac:dyDescent="0.3">
      <c r="A421" t="s">
        <v>112</v>
      </c>
      <c r="B421" s="7">
        <v>7</v>
      </c>
      <c r="C421" t="s">
        <v>44</v>
      </c>
      <c r="D421" s="15">
        <v>14308</v>
      </c>
      <c r="E421" s="3">
        <v>5722</v>
      </c>
      <c r="F421" s="3">
        <v>8586</v>
      </c>
    </row>
    <row r="422" spans="1:7" x14ac:dyDescent="0.3">
      <c r="A422" t="s">
        <v>112</v>
      </c>
      <c r="B422" s="7">
        <v>7</v>
      </c>
      <c r="C422" t="s">
        <v>45</v>
      </c>
      <c r="D422" s="15">
        <v>190558</v>
      </c>
      <c r="E422" s="3">
        <v>163746</v>
      </c>
      <c r="F422" s="3">
        <v>26812</v>
      </c>
    </row>
    <row r="423" spans="1:7" x14ac:dyDescent="0.3">
      <c r="A423" t="s">
        <v>112</v>
      </c>
      <c r="B423" s="7">
        <v>7</v>
      </c>
      <c r="C423" t="s">
        <v>195</v>
      </c>
      <c r="D423" s="20">
        <v>5.7999999999999996E-3</v>
      </c>
    </row>
    <row r="424" spans="1:7" x14ac:dyDescent="0.3">
      <c r="A424" t="s">
        <v>112</v>
      </c>
      <c r="B424" s="7">
        <v>7</v>
      </c>
      <c r="C424" t="s">
        <v>196</v>
      </c>
      <c r="D424" s="20">
        <v>1.5E-3</v>
      </c>
    </row>
    <row r="425" spans="1:7" ht="28.8" x14ac:dyDescent="0.3">
      <c r="A425" s="10" t="s">
        <v>112</v>
      </c>
      <c r="B425" s="7">
        <v>7</v>
      </c>
      <c r="C425" s="10" t="s">
        <v>20</v>
      </c>
      <c r="D425" s="22" t="s">
        <v>140</v>
      </c>
      <c r="E425" s="5" t="s">
        <v>86</v>
      </c>
      <c r="F425" s="6" t="s">
        <v>59</v>
      </c>
    </row>
    <row r="426" spans="1:7" x14ac:dyDescent="0.3">
      <c r="A426" t="s">
        <v>112</v>
      </c>
      <c r="B426" s="7">
        <v>7</v>
      </c>
      <c r="C426" t="s">
        <v>42</v>
      </c>
      <c r="D426" s="15">
        <v>4805</v>
      </c>
      <c r="E426" s="3">
        <v>9550</v>
      </c>
      <c r="F426" s="3">
        <v>-4745</v>
      </c>
    </row>
    <row r="427" spans="1:7" x14ac:dyDescent="0.3">
      <c r="A427" t="s">
        <v>112</v>
      </c>
      <c r="B427" s="7">
        <v>7</v>
      </c>
      <c r="C427" t="s">
        <v>43</v>
      </c>
      <c r="D427" s="15">
        <v>37567</v>
      </c>
      <c r="E427" s="3">
        <v>24894</v>
      </c>
      <c r="F427" s="3">
        <v>12673</v>
      </c>
    </row>
    <row r="428" spans="1:7" x14ac:dyDescent="0.3">
      <c r="A428" t="s">
        <v>112</v>
      </c>
      <c r="B428" s="7">
        <v>7</v>
      </c>
      <c r="C428" t="s">
        <v>44</v>
      </c>
      <c r="D428" s="15">
        <v>14308</v>
      </c>
      <c r="E428" s="3">
        <v>23230</v>
      </c>
      <c r="F428" s="3">
        <v>-8922</v>
      </c>
    </row>
    <row r="429" spans="1:7" x14ac:dyDescent="0.3">
      <c r="A429" t="s">
        <v>112</v>
      </c>
      <c r="B429" s="7">
        <v>7</v>
      </c>
      <c r="C429" t="s">
        <v>45</v>
      </c>
      <c r="D429" s="15">
        <v>190558</v>
      </c>
      <c r="E429" s="3">
        <v>199601</v>
      </c>
      <c r="F429" s="3">
        <v>-9043</v>
      </c>
    </row>
    <row r="430" spans="1:7" x14ac:dyDescent="0.3">
      <c r="A430" t="s">
        <v>112</v>
      </c>
      <c r="B430" s="7">
        <v>7</v>
      </c>
      <c r="C430" t="s">
        <v>200</v>
      </c>
      <c r="D430" s="15" t="s">
        <v>56</v>
      </c>
    </row>
    <row r="431" spans="1:7" x14ac:dyDescent="0.3">
      <c r="A431" t="s">
        <v>112</v>
      </c>
      <c r="B431" s="7">
        <v>7</v>
      </c>
      <c r="C431" t="s">
        <v>201</v>
      </c>
      <c r="D431" s="15" t="s">
        <v>56</v>
      </c>
    </row>
    <row r="432" spans="1:7" ht="28.8" x14ac:dyDescent="0.3">
      <c r="A432" s="10" t="s">
        <v>112</v>
      </c>
      <c r="B432" s="7">
        <v>7</v>
      </c>
      <c r="C432" s="10" t="s">
        <v>46</v>
      </c>
      <c r="D432" s="22" t="s">
        <v>141</v>
      </c>
      <c r="E432" s="5" t="s">
        <v>86</v>
      </c>
      <c r="F432" s="6" t="s">
        <v>59</v>
      </c>
      <c r="G432" s="8" t="s">
        <v>61</v>
      </c>
    </row>
    <row r="433" spans="1:7" x14ac:dyDescent="0.3">
      <c r="A433" t="s">
        <v>112</v>
      </c>
      <c r="B433" s="7">
        <v>7</v>
      </c>
      <c r="C433" t="s">
        <v>47</v>
      </c>
      <c r="D433" s="15">
        <v>647506</v>
      </c>
      <c r="E433" s="3">
        <v>597442</v>
      </c>
      <c r="F433" s="3">
        <v>50064</v>
      </c>
      <c r="G433" s="4">
        <v>8.3799999999999999E-2</v>
      </c>
    </row>
    <row r="434" spans="1:7" x14ac:dyDescent="0.3">
      <c r="A434" t="s">
        <v>112</v>
      </c>
      <c r="B434" s="7">
        <v>7</v>
      </c>
      <c r="C434" t="s">
        <v>48</v>
      </c>
      <c r="D434" s="15">
        <v>350591</v>
      </c>
      <c r="E434" s="3">
        <v>415050</v>
      </c>
      <c r="F434" s="3">
        <v>-64458</v>
      </c>
      <c r="G434" s="4">
        <v>-0.15529999999999999</v>
      </c>
    </row>
    <row r="435" spans="1:7" x14ac:dyDescent="0.3">
      <c r="A435" t="s">
        <v>112</v>
      </c>
      <c r="B435" s="7">
        <v>9</v>
      </c>
      <c r="C435" t="s">
        <v>203</v>
      </c>
      <c r="D435" s="15">
        <v>42325395</v>
      </c>
    </row>
    <row r="436" spans="1:7" x14ac:dyDescent="0.3">
      <c r="A436" t="s">
        <v>104</v>
      </c>
      <c r="B436" s="7">
        <v>8</v>
      </c>
      <c r="C436" t="s">
        <v>197</v>
      </c>
      <c r="D436" s="15">
        <v>3844823</v>
      </c>
    </row>
    <row r="437" spans="1:7" x14ac:dyDescent="0.3">
      <c r="A437" t="s">
        <v>104</v>
      </c>
      <c r="B437" s="7">
        <v>8</v>
      </c>
      <c r="C437" t="s">
        <v>24</v>
      </c>
      <c r="D437" s="15" t="s">
        <v>56</v>
      </c>
    </row>
    <row r="438" spans="1:7" x14ac:dyDescent="0.3">
      <c r="A438" t="s">
        <v>104</v>
      </c>
      <c r="B438" s="7">
        <v>8</v>
      </c>
      <c r="C438" t="s">
        <v>25</v>
      </c>
      <c r="D438" s="15" t="s">
        <v>56</v>
      </c>
    </row>
    <row r="439" spans="1:7" x14ac:dyDescent="0.3">
      <c r="A439" t="s">
        <v>104</v>
      </c>
      <c r="B439" s="7">
        <v>8</v>
      </c>
      <c r="C439" t="s">
        <v>26</v>
      </c>
      <c r="D439" s="15">
        <v>475784</v>
      </c>
    </row>
    <row r="440" spans="1:7" x14ac:dyDescent="0.3">
      <c r="A440" t="s">
        <v>104</v>
      </c>
      <c r="B440" s="7">
        <v>8</v>
      </c>
      <c r="C440" t="s">
        <v>27</v>
      </c>
      <c r="D440" s="15">
        <v>18166</v>
      </c>
    </row>
    <row r="441" spans="1:7" x14ac:dyDescent="0.3">
      <c r="A441" t="s">
        <v>104</v>
      </c>
      <c r="B441" s="7">
        <v>8</v>
      </c>
      <c r="C441" t="s">
        <v>198</v>
      </c>
      <c r="D441" s="15">
        <v>741681</v>
      </c>
    </row>
    <row r="442" spans="1:7" x14ac:dyDescent="0.3">
      <c r="A442" t="s">
        <v>104</v>
      </c>
      <c r="B442" s="7">
        <v>8</v>
      </c>
      <c r="C442" t="s">
        <v>28</v>
      </c>
      <c r="D442" s="15">
        <v>15611</v>
      </c>
    </row>
    <row r="443" spans="1:7" x14ac:dyDescent="0.3">
      <c r="A443" t="s">
        <v>104</v>
      </c>
      <c r="B443" s="7">
        <v>8</v>
      </c>
      <c r="C443" t="s">
        <v>29</v>
      </c>
      <c r="D443" s="15" t="s">
        <v>56</v>
      </c>
    </row>
    <row r="444" spans="1:7" x14ac:dyDescent="0.3">
      <c r="A444" t="s">
        <v>104</v>
      </c>
      <c r="B444" s="7">
        <v>8</v>
      </c>
      <c r="C444" t="s">
        <v>30</v>
      </c>
      <c r="D444" s="15" t="s">
        <v>56</v>
      </c>
    </row>
    <row r="445" spans="1:7" x14ac:dyDescent="0.3">
      <c r="A445" t="s">
        <v>104</v>
      </c>
      <c r="B445" s="7">
        <v>8</v>
      </c>
      <c r="C445" t="s">
        <v>53</v>
      </c>
      <c r="D445" s="15">
        <v>-10000</v>
      </c>
    </row>
    <row r="446" spans="1:7" x14ac:dyDescent="0.3">
      <c r="A446" t="s">
        <v>104</v>
      </c>
      <c r="B446" s="7">
        <v>8</v>
      </c>
      <c r="C446" t="s">
        <v>31</v>
      </c>
      <c r="D446" s="15">
        <v>5086065</v>
      </c>
    </row>
    <row r="447" spans="1:7" x14ac:dyDescent="0.3">
      <c r="A447" t="s">
        <v>104</v>
      </c>
      <c r="B447" s="7">
        <v>8</v>
      </c>
      <c r="C447" t="s">
        <v>199</v>
      </c>
      <c r="D447" s="15">
        <v>554088</v>
      </c>
    </row>
    <row r="448" spans="1:7" x14ac:dyDescent="0.3">
      <c r="A448" t="s">
        <v>104</v>
      </c>
      <c r="B448" s="7">
        <v>8</v>
      </c>
      <c r="C448" t="s">
        <v>32</v>
      </c>
      <c r="D448" s="15">
        <v>4790</v>
      </c>
    </row>
    <row r="449" spans="1:4" x14ac:dyDescent="0.3">
      <c r="A449" t="s">
        <v>104</v>
      </c>
      <c r="B449" s="7">
        <v>8</v>
      </c>
      <c r="C449" t="s">
        <v>33</v>
      </c>
      <c r="D449" s="15">
        <v>300</v>
      </c>
    </row>
    <row r="450" spans="1:4" x14ac:dyDescent="0.3">
      <c r="A450" t="s">
        <v>104</v>
      </c>
      <c r="B450" s="7">
        <v>8</v>
      </c>
      <c r="C450" t="s">
        <v>23</v>
      </c>
      <c r="D450" s="15">
        <v>554088</v>
      </c>
    </row>
    <row r="451" spans="1:4" x14ac:dyDescent="0.3">
      <c r="A451" t="s">
        <v>104</v>
      </c>
      <c r="B451" s="7">
        <v>8</v>
      </c>
      <c r="C451" t="s">
        <v>35</v>
      </c>
      <c r="D451" s="15">
        <v>5086065</v>
      </c>
    </row>
    <row r="452" spans="1:4" x14ac:dyDescent="0.3">
      <c r="A452" t="s">
        <v>104</v>
      </c>
      <c r="B452" s="7">
        <v>8</v>
      </c>
      <c r="C452" t="s">
        <v>36</v>
      </c>
      <c r="D452" s="15">
        <v>554088</v>
      </c>
    </row>
    <row r="453" spans="1:4" x14ac:dyDescent="0.3">
      <c r="A453" t="s">
        <v>104</v>
      </c>
      <c r="B453" s="7">
        <v>8</v>
      </c>
      <c r="C453" t="s">
        <v>37</v>
      </c>
      <c r="D453" s="15">
        <v>5640153</v>
      </c>
    </row>
    <row r="454" spans="1:4" x14ac:dyDescent="0.3">
      <c r="A454" t="s">
        <v>104</v>
      </c>
      <c r="B454" s="7">
        <v>8</v>
      </c>
      <c r="C454" t="s">
        <v>38</v>
      </c>
      <c r="D454" s="20">
        <v>0.1158</v>
      </c>
    </row>
    <row r="455" spans="1:4" x14ac:dyDescent="0.3">
      <c r="A455" t="s">
        <v>104</v>
      </c>
      <c r="B455" s="7">
        <v>8</v>
      </c>
      <c r="C455" t="s">
        <v>39</v>
      </c>
      <c r="D455" s="20">
        <v>0.12839999999999999</v>
      </c>
    </row>
    <row r="456" spans="1:4" x14ac:dyDescent="0.3">
      <c r="A456" t="s">
        <v>104</v>
      </c>
      <c r="B456" s="7">
        <v>8</v>
      </c>
      <c r="C456" t="s">
        <v>194</v>
      </c>
      <c r="D456" s="15">
        <v>39960590</v>
      </c>
    </row>
    <row r="457" spans="1:4" x14ac:dyDescent="0.3">
      <c r="A457" t="s">
        <v>104</v>
      </c>
      <c r="B457" s="7">
        <v>8</v>
      </c>
      <c r="C457" t="s">
        <v>181</v>
      </c>
      <c r="D457" s="15">
        <v>2144917</v>
      </c>
    </row>
    <row r="458" spans="1:4" x14ac:dyDescent="0.3">
      <c r="A458" t="s">
        <v>104</v>
      </c>
      <c r="B458" s="7">
        <v>8</v>
      </c>
      <c r="C458" t="s">
        <v>182</v>
      </c>
      <c r="D458" s="15">
        <v>25465</v>
      </c>
    </row>
    <row r="459" spans="1:4" x14ac:dyDescent="0.3">
      <c r="A459" t="s">
        <v>104</v>
      </c>
      <c r="B459" s="7">
        <v>8</v>
      </c>
      <c r="C459" t="s">
        <v>204</v>
      </c>
      <c r="D459" s="15">
        <v>524924</v>
      </c>
    </row>
    <row r="460" spans="1:4" x14ac:dyDescent="0.3">
      <c r="A460" t="s">
        <v>104</v>
      </c>
      <c r="B460" s="7">
        <v>8</v>
      </c>
      <c r="C460" t="s">
        <v>205</v>
      </c>
      <c r="D460" s="15">
        <v>1263929</v>
      </c>
    </row>
    <row r="461" spans="1:4" x14ac:dyDescent="0.3">
      <c r="A461" t="s">
        <v>104</v>
      </c>
      <c r="B461" s="7">
        <v>8</v>
      </c>
      <c r="C461" t="s">
        <v>203</v>
      </c>
      <c r="D461" s="15">
        <v>43919825</v>
      </c>
    </row>
    <row r="462" spans="1:4" x14ac:dyDescent="0.3">
      <c r="A462" t="s">
        <v>104</v>
      </c>
      <c r="B462" s="7">
        <v>8</v>
      </c>
      <c r="C462" t="s">
        <v>184</v>
      </c>
      <c r="D462" s="15">
        <v>3366</v>
      </c>
    </row>
    <row r="463" spans="1:4" x14ac:dyDescent="0.3">
      <c r="A463" t="s">
        <v>104</v>
      </c>
      <c r="B463" s="7">
        <v>8</v>
      </c>
      <c r="C463" t="s">
        <v>185</v>
      </c>
      <c r="D463" s="15" t="s">
        <v>56</v>
      </c>
    </row>
    <row r="464" spans="1:4" x14ac:dyDescent="0.3">
      <c r="A464" t="s">
        <v>104</v>
      </c>
      <c r="B464" s="7">
        <v>8</v>
      </c>
      <c r="C464" t="s">
        <v>186</v>
      </c>
      <c r="D464" s="15">
        <v>5730630</v>
      </c>
    </row>
    <row r="465" spans="1:4" x14ac:dyDescent="0.3">
      <c r="A465" t="s">
        <v>104</v>
      </c>
      <c r="B465" s="7">
        <v>8</v>
      </c>
      <c r="C465" t="s">
        <v>187</v>
      </c>
      <c r="D465" s="15">
        <v>9628595</v>
      </c>
    </row>
    <row r="466" spans="1:4" x14ac:dyDescent="0.3">
      <c r="A466" t="s">
        <v>104</v>
      </c>
      <c r="B466" s="7">
        <v>8</v>
      </c>
      <c r="C466" t="s">
        <v>188</v>
      </c>
      <c r="D466" s="15">
        <v>24457016</v>
      </c>
    </row>
    <row r="467" spans="1:4" x14ac:dyDescent="0.3">
      <c r="A467" t="s">
        <v>104</v>
      </c>
      <c r="B467" s="7">
        <v>8</v>
      </c>
      <c r="C467" t="s">
        <v>189</v>
      </c>
      <c r="D467" s="15">
        <v>4295756</v>
      </c>
    </row>
    <row r="468" spans="1:4" x14ac:dyDescent="0.3">
      <c r="A468" t="s">
        <v>104</v>
      </c>
      <c r="B468" s="7">
        <v>8</v>
      </c>
      <c r="C468" t="s">
        <v>190</v>
      </c>
      <c r="D468" s="15">
        <v>168224</v>
      </c>
    </row>
    <row r="469" spans="1:4" x14ac:dyDescent="0.3">
      <c r="A469" t="s">
        <v>104</v>
      </c>
      <c r="B469" s="7">
        <v>8</v>
      </c>
      <c r="C469" t="s">
        <v>191</v>
      </c>
      <c r="D469" s="15">
        <v>356341</v>
      </c>
    </row>
    <row r="470" spans="1:4" x14ac:dyDescent="0.3">
      <c r="A470" t="s">
        <v>104</v>
      </c>
      <c r="B470" s="7">
        <v>8</v>
      </c>
      <c r="C470" t="s">
        <v>192</v>
      </c>
      <c r="D470" s="15">
        <v>2328373</v>
      </c>
    </row>
    <row r="471" spans="1:4" x14ac:dyDescent="0.3">
      <c r="A471" t="s">
        <v>104</v>
      </c>
      <c r="B471" s="7">
        <v>8</v>
      </c>
      <c r="C471" t="s">
        <v>40</v>
      </c>
      <c r="D471" s="15">
        <v>1873182</v>
      </c>
    </row>
    <row r="472" spans="1:4" x14ac:dyDescent="0.3">
      <c r="A472" t="s">
        <v>104</v>
      </c>
      <c r="B472" s="7">
        <v>8</v>
      </c>
      <c r="C472" t="s">
        <v>41</v>
      </c>
      <c r="D472" s="15">
        <v>3463664</v>
      </c>
    </row>
    <row r="473" spans="1:4" x14ac:dyDescent="0.3">
      <c r="A473" t="s">
        <v>104</v>
      </c>
      <c r="B473" s="7">
        <v>8</v>
      </c>
      <c r="C473" t="s">
        <v>193</v>
      </c>
      <c r="D473" s="15">
        <v>1424852</v>
      </c>
    </row>
    <row r="474" spans="1:4" x14ac:dyDescent="0.3">
      <c r="A474" t="s">
        <v>104</v>
      </c>
      <c r="B474" s="7">
        <v>8</v>
      </c>
      <c r="C474" t="s">
        <v>194</v>
      </c>
      <c r="D474" s="15">
        <v>39960590</v>
      </c>
    </row>
    <row r="475" spans="1:4" x14ac:dyDescent="0.3">
      <c r="A475" t="s">
        <v>104</v>
      </c>
      <c r="B475" s="7">
        <v>8</v>
      </c>
      <c r="C475" t="s">
        <v>181</v>
      </c>
      <c r="D475" s="15">
        <v>2144917</v>
      </c>
    </row>
    <row r="476" spans="1:4" x14ac:dyDescent="0.3">
      <c r="A476" t="s">
        <v>104</v>
      </c>
      <c r="B476" s="7">
        <v>8</v>
      </c>
      <c r="C476" t="s">
        <v>182</v>
      </c>
      <c r="D476" s="15">
        <v>25465</v>
      </c>
    </row>
    <row r="477" spans="1:4" x14ac:dyDescent="0.3">
      <c r="A477" t="s">
        <v>104</v>
      </c>
      <c r="B477" s="7">
        <v>8</v>
      </c>
      <c r="C477" t="s">
        <v>204</v>
      </c>
      <c r="D477" s="15">
        <v>524924</v>
      </c>
    </row>
    <row r="478" spans="1:4" x14ac:dyDescent="0.3">
      <c r="A478" t="s">
        <v>104</v>
      </c>
      <c r="B478" s="7">
        <v>8</v>
      </c>
      <c r="C478" t="s">
        <v>205</v>
      </c>
      <c r="D478" s="15">
        <v>1263929</v>
      </c>
    </row>
    <row r="479" spans="1:4" x14ac:dyDescent="0.3">
      <c r="A479" t="s">
        <v>104</v>
      </c>
      <c r="B479" s="7">
        <v>8</v>
      </c>
      <c r="C479" t="s">
        <v>203</v>
      </c>
      <c r="D479" s="15">
        <v>43919825</v>
      </c>
    </row>
    <row r="480" spans="1:4" x14ac:dyDescent="0.3">
      <c r="A480" t="s">
        <v>104</v>
      </c>
      <c r="B480" s="7">
        <v>8</v>
      </c>
      <c r="C480" t="s">
        <v>21</v>
      </c>
      <c r="D480" s="15">
        <v>5640152.9000000004</v>
      </c>
    </row>
    <row r="481" spans="1:6" x14ac:dyDescent="0.3">
      <c r="A481" t="s">
        <v>104</v>
      </c>
      <c r="B481" s="7">
        <v>8</v>
      </c>
      <c r="C481" t="s">
        <v>22</v>
      </c>
      <c r="D481" s="20">
        <v>0.12839999999999999</v>
      </c>
    </row>
    <row r="482" spans="1:6" x14ac:dyDescent="0.3">
      <c r="A482" s="10" t="s">
        <v>104</v>
      </c>
      <c r="B482" s="7">
        <v>8</v>
      </c>
      <c r="C482" s="10" t="s">
        <v>20</v>
      </c>
      <c r="D482" s="21" t="s">
        <v>57</v>
      </c>
      <c r="E482" s="6" t="s">
        <v>64</v>
      </c>
      <c r="F482" s="6" t="s">
        <v>58</v>
      </c>
    </row>
    <row r="483" spans="1:6" x14ac:dyDescent="0.3">
      <c r="A483" t="s">
        <v>104</v>
      </c>
      <c r="B483" s="7">
        <v>8</v>
      </c>
      <c r="C483" t="s">
        <v>42</v>
      </c>
      <c r="D483" s="15" t="s">
        <v>56</v>
      </c>
      <c r="E483" s="3" t="s">
        <v>56</v>
      </c>
      <c r="F483" s="3" t="s">
        <v>56</v>
      </c>
    </row>
    <row r="484" spans="1:6" x14ac:dyDescent="0.3">
      <c r="A484" t="s">
        <v>104</v>
      </c>
      <c r="B484" s="7">
        <v>8</v>
      </c>
      <c r="C484" t="s">
        <v>43</v>
      </c>
      <c r="D484" s="15">
        <v>40993</v>
      </c>
      <c r="E484" s="3">
        <v>10236</v>
      </c>
      <c r="F484" s="3">
        <v>30757</v>
      </c>
    </row>
    <row r="485" spans="1:6" x14ac:dyDescent="0.3">
      <c r="A485" t="s">
        <v>104</v>
      </c>
      <c r="B485" s="7">
        <v>8</v>
      </c>
      <c r="C485" t="s">
        <v>44</v>
      </c>
      <c r="D485" s="15">
        <v>39430</v>
      </c>
      <c r="E485" s="3">
        <v>19573</v>
      </c>
      <c r="F485" s="3">
        <v>19857</v>
      </c>
    </row>
    <row r="486" spans="1:6" x14ac:dyDescent="0.3">
      <c r="A486" t="s">
        <v>104</v>
      </c>
      <c r="B486" s="7">
        <v>8</v>
      </c>
      <c r="C486" t="s">
        <v>45</v>
      </c>
      <c r="D486" s="15">
        <v>204566</v>
      </c>
      <c r="E486" s="3">
        <v>180108</v>
      </c>
      <c r="F486" s="3">
        <v>24459</v>
      </c>
    </row>
    <row r="487" spans="1:6" x14ac:dyDescent="0.3">
      <c r="A487" t="s">
        <v>104</v>
      </c>
      <c r="B487" s="7">
        <v>8</v>
      </c>
      <c r="C487" t="s">
        <v>206</v>
      </c>
      <c r="D487" s="15">
        <v>84461</v>
      </c>
      <c r="E487" s="3">
        <v>17990</v>
      </c>
      <c r="F487" s="3">
        <v>66471</v>
      </c>
    </row>
    <row r="488" spans="1:6" x14ac:dyDescent="0.3">
      <c r="A488" t="s">
        <v>104</v>
      </c>
      <c r="B488" s="7">
        <v>8</v>
      </c>
      <c r="C488" t="s">
        <v>195</v>
      </c>
      <c r="D488" s="20">
        <v>8.0000000000000002E-3</v>
      </c>
    </row>
    <row r="489" spans="1:6" x14ac:dyDescent="0.3">
      <c r="A489" t="s">
        <v>104</v>
      </c>
      <c r="B489" s="7">
        <v>8</v>
      </c>
      <c r="C489" t="s">
        <v>196</v>
      </c>
      <c r="D489" s="20">
        <v>3.0999999999999999E-3</v>
      </c>
    </row>
    <row r="490" spans="1:6" ht="28.8" x14ac:dyDescent="0.3">
      <c r="A490" s="10" t="s">
        <v>104</v>
      </c>
      <c r="B490" s="7">
        <v>8</v>
      </c>
      <c r="C490" s="10" t="s">
        <v>20</v>
      </c>
      <c r="D490" s="22" t="s">
        <v>136</v>
      </c>
      <c r="E490" s="5" t="s">
        <v>83</v>
      </c>
      <c r="F490" s="6" t="s">
        <v>59</v>
      </c>
    </row>
    <row r="491" spans="1:6" x14ac:dyDescent="0.3">
      <c r="A491" t="s">
        <v>104</v>
      </c>
      <c r="B491" s="7">
        <v>8</v>
      </c>
      <c r="C491" t="s">
        <v>42</v>
      </c>
      <c r="D491" s="15" t="s">
        <v>56</v>
      </c>
      <c r="E491" s="3">
        <v>4805</v>
      </c>
      <c r="F491" s="3">
        <v>-4805</v>
      </c>
    </row>
    <row r="492" spans="1:6" x14ac:dyDescent="0.3">
      <c r="A492" t="s">
        <v>104</v>
      </c>
      <c r="B492" s="7">
        <v>8</v>
      </c>
      <c r="C492" t="s">
        <v>43</v>
      </c>
      <c r="D492" s="15">
        <v>40993</v>
      </c>
      <c r="E492" s="3">
        <v>37567</v>
      </c>
      <c r="F492" s="3">
        <v>3425</v>
      </c>
    </row>
    <row r="493" spans="1:6" x14ac:dyDescent="0.3">
      <c r="A493" t="s">
        <v>104</v>
      </c>
      <c r="B493" s="7">
        <v>8</v>
      </c>
      <c r="C493" t="s">
        <v>44</v>
      </c>
      <c r="D493" s="15">
        <v>39430</v>
      </c>
      <c r="E493" s="3">
        <v>14308</v>
      </c>
      <c r="F493" s="3">
        <v>25122</v>
      </c>
    </row>
    <row r="494" spans="1:6" x14ac:dyDescent="0.3">
      <c r="A494" t="s">
        <v>104</v>
      </c>
      <c r="B494" s="7">
        <v>8</v>
      </c>
      <c r="C494" t="s">
        <v>45</v>
      </c>
      <c r="D494" s="15">
        <v>204566</v>
      </c>
      <c r="E494" s="3">
        <v>190558</v>
      </c>
      <c r="F494" s="3">
        <v>14008</v>
      </c>
    </row>
    <row r="495" spans="1:6" x14ac:dyDescent="0.3">
      <c r="A495" t="s">
        <v>104</v>
      </c>
      <c r="B495" s="7">
        <v>8</v>
      </c>
      <c r="C495" t="s">
        <v>206</v>
      </c>
      <c r="D495" s="15">
        <v>84461</v>
      </c>
      <c r="E495" s="3" t="s">
        <v>56</v>
      </c>
      <c r="F495" s="3">
        <v>84461</v>
      </c>
    </row>
    <row r="496" spans="1:6" x14ac:dyDescent="0.3">
      <c r="A496" t="s">
        <v>104</v>
      </c>
      <c r="B496" s="7">
        <v>8</v>
      </c>
      <c r="C496" t="s">
        <v>200</v>
      </c>
      <c r="D496" s="15" t="s">
        <v>56</v>
      </c>
    </row>
    <row r="497" spans="1:7" x14ac:dyDescent="0.3">
      <c r="A497" t="s">
        <v>104</v>
      </c>
      <c r="B497" s="7">
        <v>8</v>
      </c>
      <c r="C497" t="s">
        <v>201</v>
      </c>
      <c r="D497" s="15" t="s">
        <v>56</v>
      </c>
    </row>
    <row r="498" spans="1:7" ht="57.6" x14ac:dyDescent="0.3">
      <c r="A498" s="10" t="s">
        <v>104</v>
      </c>
      <c r="B498" s="7">
        <v>8</v>
      </c>
      <c r="C498" s="10" t="s">
        <v>46</v>
      </c>
      <c r="D498" s="22" t="s">
        <v>137</v>
      </c>
      <c r="E498" s="5" t="s">
        <v>84</v>
      </c>
      <c r="F498" s="6" t="s">
        <v>59</v>
      </c>
      <c r="G498" s="8" t="s">
        <v>61</v>
      </c>
    </row>
    <row r="499" spans="1:7" x14ac:dyDescent="0.3">
      <c r="A499" t="s">
        <v>104</v>
      </c>
      <c r="B499" s="7">
        <v>8</v>
      </c>
      <c r="C499" t="s">
        <v>47</v>
      </c>
      <c r="D499" s="15">
        <v>847535</v>
      </c>
      <c r="E499" s="3">
        <v>647506</v>
      </c>
      <c r="F499" s="3">
        <v>200028</v>
      </c>
      <c r="G499" s="4">
        <v>0.30890000000000001</v>
      </c>
    </row>
    <row r="500" spans="1:7" x14ac:dyDescent="0.3">
      <c r="A500" t="s">
        <v>104</v>
      </c>
      <c r="B500" s="7">
        <v>8</v>
      </c>
      <c r="C500" t="s">
        <v>48</v>
      </c>
      <c r="D500" s="15">
        <v>366105</v>
      </c>
      <c r="E500" s="3">
        <v>350591</v>
      </c>
      <c r="F500" s="3">
        <v>15513</v>
      </c>
      <c r="G500" s="4">
        <v>4.4200000000000003E-2</v>
      </c>
    </row>
    <row r="501" spans="1:7" x14ac:dyDescent="0.3">
      <c r="A501" t="s">
        <v>98</v>
      </c>
      <c r="B501" s="7">
        <v>7</v>
      </c>
      <c r="C501" t="s">
        <v>203</v>
      </c>
      <c r="D501" s="15">
        <v>49584405</v>
      </c>
    </row>
    <row r="502" spans="1:7" x14ac:dyDescent="0.3">
      <c r="A502" t="s">
        <v>98</v>
      </c>
      <c r="B502" s="7">
        <v>9</v>
      </c>
      <c r="C502" t="s">
        <v>197</v>
      </c>
      <c r="D502" s="15">
        <v>3844823</v>
      </c>
    </row>
    <row r="503" spans="1:7" x14ac:dyDescent="0.3">
      <c r="A503" t="s">
        <v>98</v>
      </c>
      <c r="B503" s="7">
        <v>9</v>
      </c>
      <c r="C503" t="s">
        <v>24</v>
      </c>
      <c r="D503" s="15" t="s">
        <v>56</v>
      </c>
    </row>
    <row r="504" spans="1:7" x14ac:dyDescent="0.3">
      <c r="A504" t="s">
        <v>98</v>
      </c>
      <c r="B504" s="7">
        <v>9</v>
      </c>
      <c r="C504" t="s">
        <v>25</v>
      </c>
      <c r="D504" s="15" t="s">
        <v>56</v>
      </c>
    </row>
    <row r="505" spans="1:7" x14ac:dyDescent="0.3">
      <c r="A505" t="s">
        <v>98</v>
      </c>
      <c r="B505" s="7">
        <v>9</v>
      </c>
      <c r="C505" t="s">
        <v>26</v>
      </c>
      <c r="D505" s="15">
        <v>475784</v>
      </c>
    </row>
    <row r="506" spans="1:7" x14ac:dyDescent="0.3">
      <c r="A506" t="s">
        <v>98</v>
      </c>
      <c r="B506" s="7">
        <v>9</v>
      </c>
      <c r="C506" t="s">
        <v>27</v>
      </c>
      <c r="D506" s="15">
        <v>745527</v>
      </c>
    </row>
    <row r="507" spans="1:7" x14ac:dyDescent="0.3">
      <c r="A507" t="s">
        <v>98</v>
      </c>
      <c r="B507" s="7">
        <v>9</v>
      </c>
      <c r="C507" t="s">
        <v>198</v>
      </c>
      <c r="D507" s="15">
        <v>217856</v>
      </c>
    </row>
    <row r="508" spans="1:7" x14ac:dyDescent="0.3">
      <c r="A508" t="s">
        <v>98</v>
      </c>
      <c r="B508" s="7">
        <v>9</v>
      </c>
      <c r="C508" t="s">
        <v>28</v>
      </c>
      <c r="D508" s="15">
        <v>15611</v>
      </c>
    </row>
    <row r="509" spans="1:7" x14ac:dyDescent="0.3">
      <c r="A509" t="s">
        <v>98</v>
      </c>
      <c r="B509" s="7">
        <v>9</v>
      </c>
      <c r="C509" t="s">
        <v>29</v>
      </c>
      <c r="D509" s="15" t="s">
        <v>56</v>
      </c>
    </row>
    <row r="510" spans="1:7" x14ac:dyDescent="0.3">
      <c r="A510" t="s">
        <v>98</v>
      </c>
      <c r="B510" s="7">
        <v>9</v>
      </c>
      <c r="C510" t="s">
        <v>30</v>
      </c>
      <c r="D510" s="15" t="s">
        <v>56</v>
      </c>
    </row>
    <row r="511" spans="1:7" x14ac:dyDescent="0.3">
      <c r="A511" t="s">
        <v>98</v>
      </c>
      <c r="B511" s="7">
        <v>9</v>
      </c>
      <c r="C511" t="s">
        <v>53</v>
      </c>
      <c r="D511" s="15">
        <v>-141991</v>
      </c>
    </row>
    <row r="512" spans="1:7" x14ac:dyDescent="0.3">
      <c r="A512" t="s">
        <v>98</v>
      </c>
      <c r="B512" s="7">
        <v>9</v>
      </c>
      <c r="C512" t="s">
        <v>31</v>
      </c>
      <c r="D512" s="15">
        <v>5157609</v>
      </c>
    </row>
    <row r="513" spans="1:4" x14ac:dyDescent="0.3">
      <c r="A513" t="s">
        <v>98</v>
      </c>
      <c r="B513" s="7">
        <v>9</v>
      </c>
      <c r="C513" t="s">
        <v>54</v>
      </c>
      <c r="D513" s="15">
        <v>1500000</v>
      </c>
    </row>
    <row r="514" spans="1:4" x14ac:dyDescent="0.3">
      <c r="A514" t="s">
        <v>98</v>
      </c>
      <c r="B514" s="7">
        <v>9</v>
      </c>
      <c r="C514" t="s">
        <v>199</v>
      </c>
      <c r="D514" s="15">
        <v>678563</v>
      </c>
    </row>
    <row r="515" spans="1:4" x14ac:dyDescent="0.3">
      <c r="A515" t="s">
        <v>98</v>
      </c>
      <c r="B515" s="7">
        <v>9</v>
      </c>
      <c r="C515" t="s">
        <v>32</v>
      </c>
      <c r="D515" s="15">
        <v>4790</v>
      </c>
    </row>
    <row r="516" spans="1:4" x14ac:dyDescent="0.3">
      <c r="A516" t="s">
        <v>98</v>
      </c>
      <c r="B516" s="7">
        <v>9</v>
      </c>
      <c r="C516" t="s">
        <v>33</v>
      </c>
      <c r="D516" s="15">
        <v>300</v>
      </c>
    </row>
    <row r="517" spans="1:4" x14ac:dyDescent="0.3">
      <c r="A517" t="s">
        <v>98</v>
      </c>
      <c r="B517" s="7">
        <v>9</v>
      </c>
      <c r="C517" t="s">
        <v>23</v>
      </c>
      <c r="D517" s="15">
        <v>2126076</v>
      </c>
    </row>
    <row r="518" spans="1:4" x14ac:dyDescent="0.3">
      <c r="A518" t="s">
        <v>98</v>
      </c>
      <c r="B518" s="7">
        <v>9</v>
      </c>
      <c r="C518" t="s">
        <v>54</v>
      </c>
      <c r="D518" s="15">
        <v>1500000</v>
      </c>
    </row>
    <row r="519" spans="1:4" x14ac:dyDescent="0.3">
      <c r="A519" t="s">
        <v>98</v>
      </c>
      <c r="B519" s="7">
        <v>9</v>
      </c>
      <c r="C519" t="s">
        <v>207</v>
      </c>
      <c r="D519" s="15">
        <v>10000</v>
      </c>
    </row>
    <row r="520" spans="1:4" x14ac:dyDescent="0.3">
      <c r="A520" t="s">
        <v>98</v>
      </c>
      <c r="B520" s="7">
        <v>9</v>
      </c>
      <c r="C520" t="s">
        <v>55</v>
      </c>
      <c r="D520" s="15">
        <v>131991.15</v>
      </c>
    </row>
    <row r="521" spans="1:4" x14ac:dyDescent="0.3">
      <c r="A521" t="s">
        <v>98</v>
      </c>
      <c r="B521" s="7">
        <v>9</v>
      </c>
      <c r="C521" t="s">
        <v>208</v>
      </c>
      <c r="D521" s="15">
        <v>141991.15</v>
      </c>
    </row>
    <row r="522" spans="1:4" x14ac:dyDescent="0.3">
      <c r="A522" t="s">
        <v>98</v>
      </c>
      <c r="B522" s="7">
        <v>9</v>
      </c>
      <c r="C522" t="s">
        <v>35</v>
      </c>
      <c r="D522" s="15">
        <v>5157609</v>
      </c>
    </row>
    <row r="523" spans="1:4" x14ac:dyDescent="0.3">
      <c r="A523" t="s">
        <v>98</v>
      </c>
      <c r="B523" s="7">
        <v>9</v>
      </c>
      <c r="C523" t="s">
        <v>36</v>
      </c>
      <c r="D523" s="15">
        <v>2126076</v>
      </c>
    </row>
    <row r="524" spans="1:4" x14ac:dyDescent="0.3">
      <c r="A524" t="s">
        <v>98</v>
      </c>
      <c r="B524" s="7">
        <v>9</v>
      </c>
      <c r="C524" t="s">
        <v>37</v>
      </c>
      <c r="D524" s="15">
        <v>7283685</v>
      </c>
    </row>
    <row r="525" spans="1:4" x14ac:dyDescent="0.3">
      <c r="A525" t="s">
        <v>98</v>
      </c>
      <c r="B525" s="7">
        <v>9</v>
      </c>
      <c r="C525" t="s">
        <v>38</v>
      </c>
      <c r="D525" s="20">
        <v>0.104</v>
      </c>
    </row>
    <row r="526" spans="1:4" x14ac:dyDescent="0.3">
      <c r="A526" t="s">
        <v>98</v>
      </c>
      <c r="B526" s="7">
        <v>9</v>
      </c>
      <c r="C526" t="s">
        <v>39</v>
      </c>
      <c r="D526" s="20">
        <v>0.14680000000000001</v>
      </c>
    </row>
    <row r="527" spans="1:4" x14ac:dyDescent="0.3">
      <c r="A527" t="s">
        <v>98</v>
      </c>
      <c r="B527" s="7">
        <v>9</v>
      </c>
      <c r="C527" t="s">
        <v>194</v>
      </c>
      <c r="D527" s="15">
        <v>43539894</v>
      </c>
    </row>
    <row r="528" spans="1:4" x14ac:dyDescent="0.3">
      <c r="A528" t="s">
        <v>98</v>
      </c>
      <c r="B528" s="7">
        <v>9</v>
      </c>
      <c r="C528" t="s">
        <v>181</v>
      </c>
      <c r="D528" s="15">
        <v>2821675</v>
      </c>
    </row>
    <row r="529" spans="1:4" x14ac:dyDescent="0.3">
      <c r="A529" t="s">
        <v>98</v>
      </c>
      <c r="B529" s="7">
        <v>9</v>
      </c>
      <c r="C529" t="s">
        <v>182</v>
      </c>
      <c r="D529" s="15">
        <v>71933</v>
      </c>
    </row>
    <row r="530" spans="1:4" x14ac:dyDescent="0.3">
      <c r="A530" t="s">
        <v>98</v>
      </c>
      <c r="B530" s="7">
        <v>9</v>
      </c>
      <c r="C530" t="s">
        <v>209</v>
      </c>
      <c r="D530" s="15">
        <v>1060898</v>
      </c>
    </row>
    <row r="531" spans="1:4" x14ac:dyDescent="0.3">
      <c r="A531" t="s">
        <v>98</v>
      </c>
      <c r="B531" s="7">
        <v>9</v>
      </c>
      <c r="C531" t="s">
        <v>210</v>
      </c>
      <c r="D531" s="15">
        <v>697000</v>
      </c>
    </row>
    <row r="532" spans="1:4" x14ac:dyDescent="0.3">
      <c r="A532" t="s">
        <v>98</v>
      </c>
      <c r="B532" s="7">
        <v>9</v>
      </c>
      <c r="C532" t="s">
        <v>211</v>
      </c>
      <c r="D532" s="15">
        <v>1393005</v>
      </c>
    </row>
    <row r="533" spans="1:4" x14ac:dyDescent="0.3">
      <c r="A533" t="s">
        <v>98</v>
      </c>
      <c r="B533" s="7">
        <v>9</v>
      </c>
      <c r="C533" t="s">
        <v>184</v>
      </c>
      <c r="D533" s="15" t="s">
        <v>56</v>
      </c>
    </row>
    <row r="534" spans="1:4" x14ac:dyDescent="0.3">
      <c r="A534" t="s">
        <v>98</v>
      </c>
      <c r="B534" s="7">
        <v>9</v>
      </c>
      <c r="C534" t="s">
        <v>185</v>
      </c>
      <c r="D534" s="15" t="s">
        <v>56</v>
      </c>
    </row>
    <row r="535" spans="1:4" x14ac:dyDescent="0.3">
      <c r="A535" t="s">
        <v>98</v>
      </c>
      <c r="B535" s="7">
        <v>9</v>
      </c>
      <c r="C535" t="s">
        <v>186</v>
      </c>
      <c r="D535" s="15">
        <v>1631195</v>
      </c>
    </row>
    <row r="536" spans="1:4" x14ac:dyDescent="0.3">
      <c r="A536" t="s">
        <v>98</v>
      </c>
      <c r="B536" s="7">
        <v>9</v>
      </c>
      <c r="C536" t="s">
        <v>187</v>
      </c>
      <c r="D536" s="15">
        <v>10873901</v>
      </c>
    </row>
    <row r="537" spans="1:4" x14ac:dyDescent="0.3">
      <c r="A537" t="s">
        <v>98</v>
      </c>
      <c r="B537" s="7">
        <v>9</v>
      </c>
      <c r="C537" t="s">
        <v>188</v>
      </c>
      <c r="D537" s="15">
        <v>18935391</v>
      </c>
    </row>
    <row r="538" spans="1:4" x14ac:dyDescent="0.3">
      <c r="A538" t="s">
        <v>98</v>
      </c>
      <c r="B538" s="7">
        <v>9</v>
      </c>
      <c r="C538" t="s">
        <v>189</v>
      </c>
      <c r="D538" s="15">
        <v>2531802</v>
      </c>
    </row>
    <row r="539" spans="1:4" x14ac:dyDescent="0.3">
      <c r="A539" t="s">
        <v>98</v>
      </c>
      <c r="B539" s="7">
        <v>9</v>
      </c>
      <c r="C539" t="s">
        <v>190</v>
      </c>
      <c r="D539" s="15">
        <v>349624</v>
      </c>
    </row>
    <row r="540" spans="1:4" x14ac:dyDescent="0.3">
      <c r="A540" t="s">
        <v>98</v>
      </c>
      <c r="B540" s="7">
        <v>9</v>
      </c>
      <c r="C540" t="s">
        <v>191</v>
      </c>
      <c r="D540" s="15">
        <v>170399</v>
      </c>
    </row>
    <row r="541" spans="1:4" x14ac:dyDescent="0.3">
      <c r="A541" t="s">
        <v>98</v>
      </c>
      <c r="B541" s="7">
        <v>9</v>
      </c>
      <c r="C541" t="s">
        <v>192</v>
      </c>
      <c r="D541" s="15">
        <v>3605417</v>
      </c>
    </row>
    <row r="542" spans="1:4" x14ac:dyDescent="0.3">
      <c r="A542" t="s">
        <v>98</v>
      </c>
      <c r="B542" s="7">
        <v>9</v>
      </c>
      <c r="C542" t="s">
        <v>40</v>
      </c>
      <c r="D542" s="15">
        <v>1986657</v>
      </c>
    </row>
    <row r="543" spans="1:4" x14ac:dyDescent="0.3">
      <c r="A543" t="s">
        <v>98</v>
      </c>
      <c r="B543" s="7">
        <v>9</v>
      </c>
      <c r="C543" t="s">
        <v>41</v>
      </c>
      <c r="D543" s="15">
        <v>2780448</v>
      </c>
    </row>
    <row r="544" spans="1:4" x14ac:dyDescent="0.3">
      <c r="A544" t="s">
        <v>98</v>
      </c>
      <c r="B544" s="7">
        <v>9</v>
      </c>
      <c r="C544" t="s">
        <v>193</v>
      </c>
      <c r="D544" s="15">
        <v>675059</v>
      </c>
    </row>
    <row r="545" spans="1:6" x14ac:dyDescent="0.3">
      <c r="A545" t="s">
        <v>98</v>
      </c>
      <c r="B545" s="7">
        <v>9</v>
      </c>
      <c r="C545" t="s">
        <v>194</v>
      </c>
      <c r="D545" s="15">
        <v>43539894</v>
      </c>
    </row>
    <row r="546" spans="1:6" x14ac:dyDescent="0.3">
      <c r="A546" t="s">
        <v>98</v>
      </c>
      <c r="B546" s="7">
        <v>9</v>
      </c>
      <c r="C546" t="s">
        <v>181</v>
      </c>
      <c r="D546" s="15">
        <v>2821675</v>
      </c>
    </row>
    <row r="547" spans="1:6" x14ac:dyDescent="0.3">
      <c r="A547" t="s">
        <v>98</v>
      </c>
      <c r="B547" s="7">
        <v>9</v>
      </c>
      <c r="C547" t="s">
        <v>182</v>
      </c>
      <c r="D547" s="15">
        <v>71933</v>
      </c>
    </row>
    <row r="548" spans="1:6" x14ac:dyDescent="0.3">
      <c r="A548" t="s">
        <v>98</v>
      </c>
      <c r="B548" s="7">
        <v>9</v>
      </c>
      <c r="C548" t="s">
        <v>209</v>
      </c>
      <c r="D548" s="15">
        <v>1060898</v>
      </c>
    </row>
    <row r="549" spans="1:6" x14ac:dyDescent="0.3">
      <c r="A549" t="s">
        <v>98</v>
      </c>
      <c r="B549" s="7">
        <v>9</v>
      </c>
      <c r="C549" t="s">
        <v>210</v>
      </c>
      <c r="D549" s="15">
        <v>697000</v>
      </c>
    </row>
    <row r="550" spans="1:6" x14ac:dyDescent="0.3">
      <c r="A550" t="s">
        <v>98</v>
      </c>
      <c r="B550" s="7">
        <v>9</v>
      </c>
      <c r="C550" t="s">
        <v>211</v>
      </c>
      <c r="D550" s="15">
        <v>1393005</v>
      </c>
    </row>
    <row r="551" spans="1:6" x14ac:dyDescent="0.3">
      <c r="A551" t="s">
        <v>98</v>
      </c>
      <c r="B551" s="7">
        <v>9</v>
      </c>
      <c r="C551" t="s">
        <v>203</v>
      </c>
      <c r="D551" s="15">
        <v>49584405</v>
      </c>
    </row>
    <row r="552" spans="1:6" x14ac:dyDescent="0.3">
      <c r="A552" t="s">
        <v>98</v>
      </c>
      <c r="B552" s="7">
        <v>9</v>
      </c>
      <c r="C552" t="s">
        <v>21</v>
      </c>
      <c r="D552" s="15">
        <v>7283684.9100000001</v>
      </c>
    </row>
    <row r="553" spans="1:6" x14ac:dyDescent="0.3">
      <c r="A553" t="s">
        <v>98</v>
      </c>
      <c r="B553" s="7">
        <v>9</v>
      </c>
      <c r="C553" t="s">
        <v>22</v>
      </c>
      <c r="D553" s="20">
        <v>0.14680000000000001</v>
      </c>
    </row>
    <row r="554" spans="1:6" x14ac:dyDescent="0.3">
      <c r="A554" s="10" t="s">
        <v>98</v>
      </c>
      <c r="B554" s="7">
        <v>9</v>
      </c>
      <c r="C554" s="10" t="s">
        <v>20</v>
      </c>
      <c r="D554" s="21" t="s">
        <v>57</v>
      </c>
      <c r="E554" s="6" t="s">
        <v>64</v>
      </c>
      <c r="F554" s="6" t="s">
        <v>58</v>
      </c>
    </row>
    <row r="555" spans="1:6" x14ac:dyDescent="0.3">
      <c r="A555" t="s">
        <v>98</v>
      </c>
      <c r="B555" s="7">
        <v>9</v>
      </c>
      <c r="C555" t="s">
        <v>42</v>
      </c>
      <c r="D555" s="15" t="s">
        <v>56</v>
      </c>
      <c r="E555" s="3" t="s">
        <v>56</v>
      </c>
      <c r="F555" s="3" t="s">
        <v>56</v>
      </c>
    </row>
    <row r="556" spans="1:6" x14ac:dyDescent="0.3">
      <c r="A556" t="s">
        <v>98</v>
      </c>
      <c r="B556" s="7">
        <v>9</v>
      </c>
      <c r="C556" t="s">
        <v>43</v>
      </c>
      <c r="D556" s="15">
        <v>90149</v>
      </c>
      <c r="E556" s="3">
        <v>1550</v>
      </c>
      <c r="F556" s="3">
        <v>88599</v>
      </c>
    </row>
    <row r="557" spans="1:6" x14ac:dyDescent="0.3">
      <c r="A557" t="s">
        <v>98</v>
      </c>
      <c r="B557" s="7">
        <v>9</v>
      </c>
      <c r="C557" t="s">
        <v>44</v>
      </c>
      <c r="D557" s="15">
        <v>28817</v>
      </c>
      <c r="E557" s="3">
        <v>14322</v>
      </c>
      <c r="F557" s="3">
        <v>14495</v>
      </c>
    </row>
    <row r="558" spans="1:6" x14ac:dyDescent="0.3">
      <c r="A558" t="s">
        <v>98</v>
      </c>
      <c r="B558" s="7">
        <v>9</v>
      </c>
      <c r="C558" t="s">
        <v>45</v>
      </c>
      <c r="D558" s="15">
        <v>217389</v>
      </c>
      <c r="E558" s="3">
        <v>189002</v>
      </c>
      <c r="F558" s="3">
        <v>28387</v>
      </c>
    </row>
    <row r="559" spans="1:6" x14ac:dyDescent="0.3">
      <c r="A559" t="s">
        <v>98</v>
      </c>
      <c r="B559" s="7">
        <v>9</v>
      </c>
      <c r="C559" t="s">
        <v>195</v>
      </c>
      <c r="D559" s="20">
        <v>6.7999999999999996E-3</v>
      </c>
    </row>
    <row r="560" spans="1:6" x14ac:dyDescent="0.3">
      <c r="A560" t="s">
        <v>98</v>
      </c>
      <c r="B560" s="7">
        <v>9</v>
      </c>
      <c r="C560" t="s">
        <v>196</v>
      </c>
      <c r="D560" s="20">
        <v>2.7000000000000001E-3</v>
      </c>
    </row>
    <row r="561" spans="1:7" ht="57.6" x14ac:dyDescent="0.3">
      <c r="A561" s="10" t="s">
        <v>98</v>
      </c>
      <c r="B561" s="7">
        <v>9</v>
      </c>
      <c r="C561" s="10" t="s">
        <v>20</v>
      </c>
      <c r="D561" s="22" t="s">
        <v>138</v>
      </c>
      <c r="E561" s="5" t="s">
        <v>85</v>
      </c>
      <c r="F561" s="6" t="s">
        <v>59</v>
      </c>
    </row>
    <row r="562" spans="1:7" x14ac:dyDescent="0.3">
      <c r="A562" t="s">
        <v>98</v>
      </c>
      <c r="B562" s="7">
        <v>9</v>
      </c>
      <c r="C562" t="s">
        <v>42</v>
      </c>
      <c r="D562" s="15" t="s">
        <v>56</v>
      </c>
      <c r="E562" s="3" t="s">
        <v>56</v>
      </c>
      <c r="F562" s="3" t="s">
        <v>56</v>
      </c>
    </row>
    <row r="563" spans="1:7" x14ac:dyDescent="0.3">
      <c r="A563" t="s">
        <v>98</v>
      </c>
      <c r="B563" s="7">
        <v>9</v>
      </c>
      <c r="C563" t="s">
        <v>43</v>
      </c>
      <c r="D563" s="15">
        <v>90149</v>
      </c>
      <c r="E563" s="3">
        <v>125454</v>
      </c>
      <c r="F563" s="3">
        <v>-35305</v>
      </c>
    </row>
    <row r="564" spans="1:7" x14ac:dyDescent="0.3">
      <c r="A564" t="s">
        <v>98</v>
      </c>
      <c r="B564" s="7">
        <v>9</v>
      </c>
      <c r="C564" t="s">
        <v>44</v>
      </c>
      <c r="D564" s="15">
        <v>28817</v>
      </c>
      <c r="E564" s="3">
        <v>39430</v>
      </c>
      <c r="F564" s="3">
        <v>-10614</v>
      </c>
    </row>
    <row r="565" spans="1:7" x14ac:dyDescent="0.3">
      <c r="A565" t="s">
        <v>98</v>
      </c>
      <c r="B565" s="7">
        <v>9</v>
      </c>
      <c r="C565" t="s">
        <v>45</v>
      </c>
      <c r="D565" s="15">
        <v>217389</v>
      </c>
      <c r="E565" s="3">
        <v>204566</v>
      </c>
      <c r="F565" s="3">
        <v>12823</v>
      </c>
    </row>
    <row r="566" spans="1:7" x14ac:dyDescent="0.3">
      <c r="A566" t="s">
        <v>98</v>
      </c>
      <c r="B566" s="7">
        <v>9</v>
      </c>
      <c r="C566" t="s">
        <v>200</v>
      </c>
      <c r="D566" s="15" t="s">
        <v>56</v>
      </c>
    </row>
    <row r="567" spans="1:7" x14ac:dyDescent="0.3">
      <c r="A567" t="s">
        <v>98</v>
      </c>
      <c r="B567" s="7">
        <v>9</v>
      </c>
      <c r="C567" t="s">
        <v>201</v>
      </c>
      <c r="D567" s="15" t="s">
        <v>56</v>
      </c>
    </row>
    <row r="568" spans="1:7" ht="57.6" x14ac:dyDescent="0.3">
      <c r="A568" s="10" t="s">
        <v>98</v>
      </c>
      <c r="B568" s="7">
        <v>9</v>
      </c>
      <c r="C568" s="10" t="s">
        <v>46</v>
      </c>
      <c r="D568" s="22" t="s">
        <v>139</v>
      </c>
      <c r="E568" s="5" t="s">
        <v>85</v>
      </c>
      <c r="F568" s="6" t="s">
        <v>59</v>
      </c>
      <c r="G568" s="8" t="s">
        <v>61</v>
      </c>
    </row>
    <row r="569" spans="1:7" x14ac:dyDescent="0.3">
      <c r="A569" t="s">
        <v>98</v>
      </c>
      <c r="B569" s="7">
        <v>9</v>
      </c>
      <c r="C569" t="s">
        <v>47</v>
      </c>
      <c r="D569" s="15">
        <v>901318</v>
      </c>
      <c r="E569" s="3">
        <v>847535</v>
      </c>
      <c r="F569" s="3">
        <v>53783</v>
      </c>
      <c r="G569" s="4">
        <v>6.3500000000000001E-2</v>
      </c>
    </row>
    <row r="570" spans="1:7" x14ac:dyDescent="0.3">
      <c r="A570" t="s">
        <v>98</v>
      </c>
      <c r="B570" s="7">
        <v>9</v>
      </c>
      <c r="C570" t="s">
        <v>48</v>
      </c>
      <c r="D570" s="15">
        <v>494112</v>
      </c>
      <c r="E570" s="3">
        <v>366105</v>
      </c>
      <c r="F570" s="3">
        <v>128007</v>
      </c>
      <c r="G570" s="4">
        <v>0.34960000000000002</v>
      </c>
    </row>
    <row r="571" spans="1:7" x14ac:dyDescent="0.3">
      <c r="A571" t="s">
        <v>103</v>
      </c>
      <c r="B571" s="7">
        <v>10</v>
      </c>
      <c r="C571" t="s">
        <v>197</v>
      </c>
      <c r="D571" s="15">
        <v>4267753</v>
      </c>
    </row>
    <row r="572" spans="1:7" x14ac:dyDescent="0.3">
      <c r="A572" t="s">
        <v>103</v>
      </c>
      <c r="B572" s="7">
        <v>10</v>
      </c>
      <c r="C572" t="s">
        <v>24</v>
      </c>
      <c r="D572" s="15" t="s">
        <v>56</v>
      </c>
    </row>
    <row r="573" spans="1:7" x14ac:dyDescent="0.3">
      <c r="A573" t="s">
        <v>103</v>
      </c>
      <c r="B573" s="7">
        <v>10</v>
      </c>
      <c r="C573" t="s">
        <v>25</v>
      </c>
      <c r="D573" s="15" t="s">
        <v>56</v>
      </c>
    </row>
    <row r="574" spans="1:7" x14ac:dyDescent="0.3">
      <c r="A574" t="s">
        <v>103</v>
      </c>
      <c r="B574" s="7">
        <v>10</v>
      </c>
      <c r="C574" t="s">
        <v>26</v>
      </c>
      <c r="D574" s="15">
        <v>608558</v>
      </c>
    </row>
    <row r="575" spans="1:7" x14ac:dyDescent="0.3">
      <c r="A575" t="s">
        <v>103</v>
      </c>
      <c r="B575" s="7">
        <v>10</v>
      </c>
      <c r="C575" t="s">
        <v>27</v>
      </c>
      <c r="D575" s="15">
        <v>991</v>
      </c>
    </row>
    <row r="576" spans="1:7" x14ac:dyDescent="0.3">
      <c r="A576" t="s">
        <v>103</v>
      </c>
      <c r="B576" s="7">
        <v>10</v>
      </c>
      <c r="C576" t="s">
        <v>198</v>
      </c>
      <c r="D576" s="15">
        <v>344016</v>
      </c>
    </row>
    <row r="577" spans="1:4" x14ac:dyDescent="0.3">
      <c r="A577" t="s">
        <v>103</v>
      </c>
      <c r="B577" s="7">
        <v>10</v>
      </c>
      <c r="C577" t="s">
        <v>28</v>
      </c>
      <c r="D577" s="15">
        <v>15611</v>
      </c>
    </row>
    <row r="578" spans="1:4" x14ac:dyDescent="0.3">
      <c r="A578" t="s">
        <v>103</v>
      </c>
      <c r="B578" s="7">
        <v>10</v>
      </c>
      <c r="C578" t="s">
        <v>29</v>
      </c>
      <c r="D578" s="15" t="s">
        <v>56</v>
      </c>
    </row>
    <row r="579" spans="1:4" x14ac:dyDescent="0.3">
      <c r="A579" t="s">
        <v>103</v>
      </c>
      <c r="B579" s="7">
        <v>10</v>
      </c>
      <c r="C579" t="s">
        <v>30</v>
      </c>
      <c r="D579" s="15" t="s">
        <v>56</v>
      </c>
    </row>
    <row r="580" spans="1:4" x14ac:dyDescent="0.3">
      <c r="A580" t="s">
        <v>103</v>
      </c>
      <c r="B580" s="7">
        <v>10</v>
      </c>
      <c r="C580" t="s">
        <v>53</v>
      </c>
      <c r="D580" s="15">
        <v>-180539</v>
      </c>
    </row>
    <row r="581" spans="1:4" x14ac:dyDescent="0.3">
      <c r="A581" t="s">
        <v>103</v>
      </c>
      <c r="B581" s="7">
        <v>10</v>
      </c>
      <c r="C581" t="s">
        <v>31</v>
      </c>
      <c r="D581" s="15">
        <v>5056391</v>
      </c>
    </row>
    <row r="582" spans="1:4" x14ac:dyDescent="0.3">
      <c r="A582" t="s">
        <v>103</v>
      </c>
      <c r="B582" s="7">
        <v>10</v>
      </c>
      <c r="C582" t="s">
        <v>54</v>
      </c>
      <c r="D582" s="15">
        <v>1500000</v>
      </c>
    </row>
    <row r="583" spans="1:4" x14ac:dyDescent="0.3">
      <c r="A583" t="s">
        <v>103</v>
      </c>
      <c r="B583" s="7">
        <v>10</v>
      </c>
      <c r="C583" t="s">
        <v>199</v>
      </c>
      <c r="D583" s="15">
        <v>748621</v>
      </c>
    </row>
    <row r="584" spans="1:4" x14ac:dyDescent="0.3">
      <c r="A584" t="s">
        <v>103</v>
      </c>
      <c r="B584" s="7">
        <v>10</v>
      </c>
      <c r="C584" t="s">
        <v>32</v>
      </c>
      <c r="D584" s="15">
        <v>4790</v>
      </c>
    </row>
    <row r="585" spans="1:4" x14ac:dyDescent="0.3">
      <c r="A585" t="s">
        <v>103</v>
      </c>
      <c r="B585" s="7">
        <v>10</v>
      </c>
      <c r="C585" t="s">
        <v>33</v>
      </c>
      <c r="D585" s="15">
        <v>300</v>
      </c>
    </row>
    <row r="586" spans="1:4" x14ac:dyDescent="0.3">
      <c r="A586" t="s">
        <v>103</v>
      </c>
      <c r="B586" s="7">
        <v>10</v>
      </c>
      <c r="C586" t="s">
        <v>23</v>
      </c>
      <c r="D586" s="15">
        <v>2253712</v>
      </c>
    </row>
    <row r="587" spans="1:4" x14ac:dyDescent="0.3">
      <c r="A587" t="s">
        <v>103</v>
      </c>
      <c r="B587" s="7">
        <v>10</v>
      </c>
      <c r="C587" t="s">
        <v>54</v>
      </c>
      <c r="D587" s="15">
        <v>1500000</v>
      </c>
    </row>
    <row r="588" spans="1:4" x14ac:dyDescent="0.3">
      <c r="A588" t="s">
        <v>103</v>
      </c>
      <c r="B588" s="7">
        <v>10</v>
      </c>
      <c r="C588" t="s">
        <v>207</v>
      </c>
      <c r="D588" s="15">
        <v>10000</v>
      </c>
    </row>
    <row r="589" spans="1:4" x14ac:dyDescent="0.3">
      <c r="A589" t="s">
        <v>103</v>
      </c>
      <c r="B589" s="7">
        <v>10</v>
      </c>
      <c r="C589" t="s">
        <v>55</v>
      </c>
      <c r="D589" s="15">
        <v>170539.13</v>
      </c>
    </row>
    <row r="590" spans="1:4" x14ac:dyDescent="0.3">
      <c r="A590" t="s">
        <v>103</v>
      </c>
      <c r="B590" s="7">
        <v>10</v>
      </c>
      <c r="C590" t="s">
        <v>208</v>
      </c>
      <c r="D590" s="15">
        <v>180539.13</v>
      </c>
    </row>
    <row r="591" spans="1:4" x14ac:dyDescent="0.3">
      <c r="A591" t="s">
        <v>103</v>
      </c>
      <c r="B591" s="7">
        <v>10</v>
      </c>
      <c r="C591" t="s">
        <v>35</v>
      </c>
      <c r="D591" s="15">
        <v>5056391</v>
      </c>
    </row>
    <row r="592" spans="1:4" x14ac:dyDescent="0.3">
      <c r="A592" t="s">
        <v>103</v>
      </c>
      <c r="B592" s="7">
        <v>10</v>
      </c>
      <c r="C592" t="s">
        <v>36</v>
      </c>
      <c r="D592" s="15">
        <v>2253712</v>
      </c>
    </row>
    <row r="593" spans="1:4" x14ac:dyDescent="0.3">
      <c r="A593" t="s">
        <v>103</v>
      </c>
      <c r="B593" s="7">
        <v>10</v>
      </c>
      <c r="C593" t="s">
        <v>37</v>
      </c>
      <c r="D593" s="15">
        <v>7310102</v>
      </c>
    </row>
    <row r="594" spans="1:4" x14ac:dyDescent="0.3">
      <c r="A594" t="s">
        <v>103</v>
      </c>
      <c r="B594" s="7">
        <v>10</v>
      </c>
      <c r="C594" t="s">
        <v>38</v>
      </c>
      <c r="D594" s="20">
        <v>0.1024</v>
      </c>
    </row>
    <row r="595" spans="1:4" x14ac:dyDescent="0.3">
      <c r="A595" t="s">
        <v>103</v>
      </c>
      <c r="B595" s="7">
        <v>10</v>
      </c>
      <c r="C595" t="s">
        <v>39</v>
      </c>
      <c r="D595" s="20">
        <v>0.14810000000000001</v>
      </c>
    </row>
    <row r="596" spans="1:4" x14ac:dyDescent="0.3">
      <c r="A596" t="s">
        <v>103</v>
      </c>
      <c r="B596" s="7">
        <v>10</v>
      </c>
      <c r="C596" t="s">
        <v>194</v>
      </c>
      <c r="D596" s="15">
        <v>44306226</v>
      </c>
    </row>
    <row r="597" spans="1:4" x14ac:dyDescent="0.3">
      <c r="A597" t="s">
        <v>103</v>
      </c>
      <c r="B597" s="7">
        <v>10</v>
      </c>
      <c r="C597" t="s">
        <v>181</v>
      </c>
      <c r="D597" s="15">
        <v>2858509</v>
      </c>
    </row>
    <row r="598" spans="1:4" x14ac:dyDescent="0.3">
      <c r="A598" t="s">
        <v>103</v>
      </c>
      <c r="B598" s="7">
        <v>10</v>
      </c>
      <c r="C598" t="s">
        <v>182</v>
      </c>
      <c r="D598" s="15">
        <v>55166</v>
      </c>
    </row>
    <row r="599" spans="1:4" x14ac:dyDescent="0.3">
      <c r="A599" t="s">
        <v>103</v>
      </c>
      <c r="B599" s="7">
        <v>10</v>
      </c>
      <c r="C599" t="s">
        <v>209</v>
      </c>
      <c r="D599" s="20">
        <v>0</v>
      </c>
    </row>
    <row r="600" spans="1:4" x14ac:dyDescent="0.3">
      <c r="A600" t="s">
        <v>103</v>
      </c>
      <c r="B600" s="7">
        <v>10</v>
      </c>
      <c r="C600" t="s">
        <v>210</v>
      </c>
      <c r="D600" s="15">
        <v>719100</v>
      </c>
    </row>
    <row r="601" spans="1:4" x14ac:dyDescent="0.3">
      <c r="A601" t="s">
        <v>103</v>
      </c>
      <c r="B601" s="7">
        <v>10</v>
      </c>
      <c r="C601" t="s">
        <v>211</v>
      </c>
      <c r="D601" s="15">
        <v>1416597</v>
      </c>
    </row>
    <row r="602" spans="1:4" x14ac:dyDescent="0.3">
      <c r="A602" t="s">
        <v>103</v>
      </c>
      <c r="B602" s="7">
        <v>10</v>
      </c>
      <c r="C602" t="s">
        <v>203</v>
      </c>
      <c r="D602" s="15">
        <v>49355598</v>
      </c>
    </row>
    <row r="603" spans="1:4" x14ac:dyDescent="0.3">
      <c r="A603" t="s">
        <v>103</v>
      </c>
      <c r="B603" s="7">
        <v>10</v>
      </c>
      <c r="C603" t="s">
        <v>184</v>
      </c>
      <c r="D603" s="15" t="s">
        <v>56</v>
      </c>
    </row>
    <row r="604" spans="1:4" x14ac:dyDescent="0.3">
      <c r="A604" t="s">
        <v>103</v>
      </c>
      <c r="B604" s="7">
        <v>10</v>
      </c>
      <c r="C604" t="s">
        <v>185</v>
      </c>
      <c r="D604" s="15" t="s">
        <v>56</v>
      </c>
    </row>
    <row r="605" spans="1:4" x14ac:dyDescent="0.3">
      <c r="A605" t="s">
        <v>103</v>
      </c>
      <c r="B605" s="7">
        <v>10</v>
      </c>
      <c r="C605" t="s">
        <v>186</v>
      </c>
      <c r="D605" s="15">
        <v>1684236</v>
      </c>
    </row>
    <row r="606" spans="1:4" x14ac:dyDescent="0.3">
      <c r="A606" t="s">
        <v>103</v>
      </c>
      <c r="B606" s="7">
        <v>10</v>
      </c>
      <c r="C606" t="s">
        <v>187</v>
      </c>
      <c r="D606" s="15">
        <v>11538393</v>
      </c>
    </row>
    <row r="607" spans="1:4" x14ac:dyDescent="0.3">
      <c r="A607" t="s">
        <v>103</v>
      </c>
      <c r="B607" s="7">
        <v>10</v>
      </c>
      <c r="C607" t="s">
        <v>188</v>
      </c>
      <c r="D607" s="15">
        <v>19015886</v>
      </c>
    </row>
    <row r="608" spans="1:4" x14ac:dyDescent="0.3">
      <c r="A608" t="s">
        <v>103</v>
      </c>
      <c r="B608" s="7">
        <v>10</v>
      </c>
      <c r="C608" t="s">
        <v>189</v>
      </c>
      <c r="D608" s="15">
        <v>2549779</v>
      </c>
    </row>
    <row r="609" spans="1:6" x14ac:dyDescent="0.3">
      <c r="A609" t="s">
        <v>103</v>
      </c>
      <c r="B609" s="7">
        <v>10</v>
      </c>
      <c r="C609" t="s">
        <v>190</v>
      </c>
      <c r="D609" s="15">
        <v>340602</v>
      </c>
    </row>
    <row r="610" spans="1:6" x14ac:dyDescent="0.3">
      <c r="A610" t="s">
        <v>103</v>
      </c>
      <c r="B610" s="7">
        <v>10</v>
      </c>
      <c r="C610" t="s">
        <v>191</v>
      </c>
      <c r="D610" s="15">
        <v>535145</v>
      </c>
    </row>
    <row r="611" spans="1:6" x14ac:dyDescent="0.3">
      <c r="A611" t="s">
        <v>103</v>
      </c>
      <c r="B611" s="7">
        <v>10</v>
      </c>
      <c r="C611" t="s">
        <v>192</v>
      </c>
      <c r="D611" s="15">
        <v>3525252</v>
      </c>
    </row>
    <row r="612" spans="1:6" x14ac:dyDescent="0.3">
      <c r="A612" t="s">
        <v>103</v>
      </c>
      <c r="B612" s="7">
        <v>10</v>
      </c>
      <c r="C612" t="s">
        <v>40</v>
      </c>
      <c r="D612" s="15">
        <v>1936906</v>
      </c>
    </row>
    <row r="613" spans="1:6" x14ac:dyDescent="0.3">
      <c r="A613" t="s">
        <v>103</v>
      </c>
      <c r="B613" s="7">
        <v>10</v>
      </c>
      <c r="C613" t="s">
        <v>41</v>
      </c>
      <c r="D613" s="15">
        <v>2904926</v>
      </c>
    </row>
    <row r="614" spans="1:6" x14ac:dyDescent="0.3">
      <c r="A614" t="s">
        <v>103</v>
      </c>
      <c r="B614" s="7">
        <v>10</v>
      </c>
      <c r="C614" t="s">
        <v>193</v>
      </c>
      <c r="D614" s="15">
        <v>275100</v>
      </c>
    </row>
    <row r="615" spans="1:6" x14ac:dyDescent="0.3">
      <c r="A615" t="s">
        <v>103</v>
      </c>
      <c r="B615" s="7">
        <v>10</v>
      </c>
      <c r="C615" t="s">
        <v>194</v>
      </c>
      <c r="D615" s="15">
        <v>44306226</v>
      </c>
    </row>
    <row r="616" spans="1:6" x14ac:dyDescent="0.3">
      <c r="A616" t="s">
        <v>103</v>
      </c>
      <c r="B616" s="7">
        <v>10</v>
      </c>
      <c r="C616" t="s">
        <v>181</v>
      </c>
      <c r="D616" s="15">
        <v>2858509</v>
      </c>
    </row>
    <row r="617" spans="1:6" x14ac:dyDescent="0.3">
      <c r="A617" t="s">
        <v>103</v>
      </c>
      <c r="B617" s="7">
        <v>10</v>
      </c>
      <c r="C617" t="s">
        <v>182</v>
      </c>
      <c r="D617" s="15">
        <v>55166</v>
      </c>
    </row>
    <row r="618" spans="1:6" x14ac:dyDescent="0.3">
      <c r="A618" t="s">
        <v>103</v>
      </c>
      <c r="B618" s="7">
        <v>10</v>
      </c>
      <c r="C618" t="s">
        <v>209</v>
      </c>
      <c r="D618" s="23">
        <v>0</v>
      </c>
    </row>
    <row r="619" spans="1:6" x14ac:dyDescent="0.3">
      <c r="A619" t="s">
        <v>103</v>
      </c>
      <c r="B619" s="7">
        <v>10</v>
      </c>
      <c r="C619" t="s">
        <v>210</v>
      </c>
      <c r="D619" s="15">
        <v>719100</v>
      </c>
    </row>
    <row r="620" spans="1:6" x14ac:dyDescent="0.3">
      <c r="A620" t="s">
        <v>103</v>
      </c>
      <c r="B620" s="7">
        <v>10</v>
      </c>
      <c r="C620" t="s">
        <v>211</v>
      </c>
      <c r="D620" s="15">
        <v>1416597</v>
      </c>
    </row>
    <row r="621" spans="1:6" x14ac:dyDescent="0.3">
      <c r="A621" t="s">
        <v>103</v>
      </c>
      <c r="B621" s="7">
        <v>10</v>
      </c>
      <c r="C621" t="s">
        <v>203</v>
      </c>
      <c r="D621" s="15">
        <v>49355598</v>
      </c>
    </row>
    <row r="622" spans="1:6" x14ac:dyDescent="0.3">
      <c r="A622" t="s">
        <v>103</v>
      </c>
      <c r="B622" s="7">
        <v>10</v>
      </c>
      <c r="C622" t="s">
        <v>21</v>
      </c>
      <c r="D622" s="15">
        <v>7310102.1900000004</v>
      </c>
    </row>
    <row r="623" spans="1:6" x14ac:dyDescent="0.3">
      <c r="A623" t="s">
        <v>103</v>
      </c>
      <c r="B623" s="7">
        <v>10</v>
      </c>
      <c r="C623" t="s">
        <v>22</v>
      </c>
      <c r="D623" s="20">
        <v>0.14810000000000001</v>
      </c>
    </row>
    <row r="624" spans="1:6" x14ac:dyDescent="0.3">
      <c r="A624" s="10" t="s">
        <v>103</v>
      </c>
      <c r="B624" s="7">
        <v>10</v>
      </c>
      <c r="C624" s="10" t="s">
        <v>20</v>
      </c>
      <c r="D624" s="21" t="s">
        <v>57</v>
      </c>
      <c r="E624" s="6" t="s">
        <v>64</v>
      </c>
      <c r="F624" s="6" t="s">
        <v>58</v>
      </c>
    </row>
    <row r="625" spans="1:7" x14ac:dyDescent="0.3">
      <c r="A625" t="s">
        <v>103</v>
      </c>
      <c r="B625" s="7">
        <v>10</v>
      </c>
      <c r="C625" t="s">
        <v>42</v>
      </c>
      <c r="D625" s="15" t="s">
        <v>56</v>
      </c>
      <c r="E625" s="3" t="s">
        <v>56</v>
      </c>
      <c r="F625" s="3" t="s">
        <v>56</v>
      </c>
    </row>
    <row r="626" spans="1:7" x14ac:dyDescent="0.3">
      <c r="A626" t="s">
        <v>103</v>
      </c>
      <c r="B626" s="7">
        <v>10</v>
      </c>
      <c r="C626" t="s">
        <v>43</v>
      </c>
      <c r="D626" s="15">
        <v>507543</v>
      </c>
      <c r="E626" s="3">
        <v>126886</v>
      </c>
      <c r="F626" s="3">
        <v>380657</v>
      </c>
    </row>
    <row r="627" spans="1:7" x14ac:dyDescent="0.3">
      <c r="A627" t="s">
        <v>103</v>
      </c>
      <c r="B627" s="7">
        <v>10</v>
      </c>
      <c r="C627" t="s">
        <v>44</v>
      </c>
      <c r="D627" s="15">
        <v>65508</v>
      </c>
      <c r="E627" s="3">
        <v>32754</v>
      </c>
      <c r="F627" s="3">
        <v>32754</v>
      </c>
    </row>
    <row r="628" spans="1:7" x14ac:dyDescent="0.3">
      <c r="A628" t="s">
        <v>103</v>
      </c>
      <c r="B628" s="7">
        <v>10</v>
      </c>
      <c r="C628" t="s">
        <v>45</v>
      </c>
      <c r="D628" s="15">
        <v>164032</v>
      </c>
      <c r="E628" s="3">
        <v>163762</v>
      </c>
      <c r="F628" s="3">
        <v>270</v>
      </c>
    </row>
    <row r="629" spans="1:7" x14ac:dyDescent="0.3">
      <c r="A629" t="s">
        <v>103</v>
      </c>
      <c r="B629" s="7">
        <v>10</v>
      </c>
      <c r="C629" t="s">
        <v>195</v>
      </c>
      <c r="D629" s="20">
        <v>1.47E-2</v>
      </c>
    </row>
    <row r="630" spans="1:7" x14ac:dyDescent="0.3">
      <c r="A630" t="s">
        <v>103</v>
      </c>
      <c r="B630" s="7">
        <v>10</v>
      </c>
      <c r="C630" t="s">
        <v>196</v>
      </c>
      <c r="D630" s="20">
        <v>8.5000000000000006E-3</v>
      </c>
    </row>
    <row r="631" spans="1:7" ht="57.6" x14ac:dyDescent="0.3">
      <c r="A631" s="10" t="s">
        <v>103</v>
      </c>
      <c r="B631" s="7">
        <v>10</v>
      </c>
      <c r="C631" s="10" t="s">
        <v>20</v>
      </c>
      <c r="D631" s="22" t="s">
        <v>123</v>
      </c>
      <c r="E631" s="5" t="s">
        <v>67</v>
      </c>
      <c r="F631" s="6" t="s">
        <v>59</v>
      </c>
    </row>
    <row r="632" spans="1:7" x14ac:dyDescent="0.3">
      <c r="A632" t="s">
        <v>103</v>
      </c>
      <c r="B632" s="7">
        <v>10</v>
      </c>
      <c r="C632" t="s">
        <v>42</v>
      </c>
      <c r="D632" s="15" t="s">
        <v>56</v>
      </c>
      <c r="E632" s="3" t="s">
        <v>56</v>
      </c>
      <c r="F632" s="3" t="s">
        <v>56</v>
      </c>
    </row>
    <row r="633" spans="1:7" x14ac:dyDescent="0.3">
      <c r="A633" t="s">
        <v>103</v>
      </c>
      <c r="B633" s="7">
        <v>10</v>
      </c>
      <c r="C633" t="s">
        <v>43</v>
      </c>
      <c r="D633" s="15">
        <v>507543</v>
      </c>
      <c r="E633" s="3">
        <v>90149</v>
      </c>
      <c r="F633" s="3">
        <v>417394</v>
      </c>
    </row>
    <row r="634" spans="1:7" x14ac:dyDescent="0.3">
      <c r="A634" t="s">
        <v>103</v>
      </c>
      <c r="B634" s="7">
        <v>10</v>
      </c>
      <c r="C634" t="s">
        <v>44</v>
      </c>
      <c r="D634" s="15">
        <v>65508</v>
      </c>
      <c r="E634" s="3">
        <v>28817</v>
      </c>
      <c r="F634" s="3">
        <v>36692</v>
      </c>
    </row>
    <row r="635" spans="1:7" x14ac:dyDescent="0.3">
      <c r="A635" t="s">
        <v>103</v>
      </c>
      <c r="B635" s="7">
        <v>10</v>
      </c>
      <c r="C635" t="s">
        <v>45</v>
      </c>
      <c r="D635" s="15">
        <v>164032</v>
      </c>
      <c r="E635" s="3">
        <v>217389</v>
      </c>
      <c r="F635" s="3">
        <v>-53356</v>
      </c>
    </row>
    <row r="636" spans="1:7" x14ac:dyDescent="0.3">
      <c r="A636" t="s">
        <v>103</v>
      </c>
      <c r="B636" s="7">
        <v>10</v>
      </c>
      <c r="C636" t="s">
        <v>200</v>
      </c>
      <c r="D636" s="15" t="s">
        <v>56</v>
      </c>
    </row>
    <row r="637" spans="1:7" x14ac:dyDescent="0.3">
      <c r="A637" t="s">
        <v>103</v>
      </c>
      <c r="B637" s="7">
        <v>10</v>
      </c>
      <c r="C637" t="s">
        <v>201</v>
      </c>
      <c r="D637" s="15" t="s">
        <v>56</v>
      </c>
    </row>
    <row r="638" spans="1:7" ht="57.6" x14ac:dyDescent="0.3">
      <c r="A638" s="10" t="s">
        <v>103</v>
      </c>
      <c r="B638" s="7">
        <v>10</v>
      </c>
      <c r="C638" s="10" t="s">
        <v>46</v>
      </c>
      <c r="D638" s="22" t="s">
        <v>124</v>
      </c>
      <c r="E638" s="5" t="s">
        <v>68</v>
      </c>
      <c r="F638" s="6" t="s">
        <v>59</v>
      </c>
      <c r="G638" s="8" t="s">
        <v>61</v>
      </c>
    </row>
    <row r="639" spans="1:7" x14ac:dyDescent="0.3">
      <c r="A639" t="s">
        <v>103</v>
      </c>
      <c r="B639" s="7">
        <v>10</v>
      </c>
      <c r="C639" t="s">
        <v>47</v>
      </c>
      <c r="D639" s="15">
        <v>1072023</v>
      </c>
      <c r="E639" s="3">
        <v>901318</v>
      </c>
      <c r="F639" s="3">
        <v>170705</v>
      </c>
      <c r="G639" s="4">
        <v>0.18940000000000001</v>
      </c>
    </row>
    <row r="640" spans="1:7" x14ac:dyDescent="0.3">
      <c r="A640" t="s">
        <v>103</v>
      </c>
      <c r="B640" s="7">
        <v>10</v>
      </c>
      <c r="C640" t="s">
        <v>48</v>
      </c>
      <c r="D640" s="15">
        <v>413455</v>
      </c>
      <c r="E640" s="3">
        <v>494112</v>
      </c>
      <c r="F640" s="3">
        <v>-80657</v>
      </c>
      <c r="G640" s="4">
        <v>-0.16320000000000001</v>
      </c>
    </row>
    <row r="641" spans="1:4" x14ac:dyDescent="0.3">
      <c r="A641" t="s">
        <v>109</v>
      </c>
      <c r="B641" s="7">
        <v>3</v>
      </c>
      <c r="C641" t="s">
        <v>203</v>
      </c>
      <c r="D641" s="15">
        <v>49465286</v>
      </c>
    </row>
    <row r="642" spans="1:4" x14ac:dyDescent="0.3">
      <c r="A642" t="s">
        <v>109</v>
      </c>
      <c r="B642" s="7">
        <v>11</v>
      </c>
      <c r="C642" t="s">
        <v>197</v>
      </c>
      <c r="D642" s="15">
        <v>4267753</v>
      </c>
    </row>
    <row r="643" spans="1:4" x14ac:dyDescent="0.3">
      <c r="A643" t="s">
        <v>109</v>
      </c>
      <c r="B643" s="7">
        <v>11</v>
      </c>
      <c r="C643" t="s">
        <v>24</v>
      </c>
      <c r="D643" s="15" t="s">
        <v>56</v>
      </c>
    </row>
    <row r="644" spans="1:4" x14ac:dyDescent="0.3">
      <c r="A644" t="s">
        <v>109</v>
      </c>
      <c r="B644" s="7">
        <v>11</v>
      </c>
      <c r="C644" t="s">
        <v>25</v>
      </c>
      <c r="D644" s="15" t="s">
        <v>56</v>
      </c>
    </row>
    <row r="645" spans="1:4" x14ac:dyDescent="0.3">
      <c r="A645" t="s">
        <v>109</v>
      </c>
      <c r="B645" s="7">
        <v>11</v>
      </c>
      <c r="C645" t="s">
        <v>26</v>
      </c>
      <c r="D645" s="15">
        <v>608558</v>
      </c>
    </row>
    <row r="646" spans="1:4" x14ac:dyDescent="0.3">
      <c r="A646" t="s">
        <v>109</v>
      </c>
      <c r="B646" s="7">
        <v>11</v>
      </c>
      <c r="C646" t="s">
        <v>27</v>
      </c>
      <c r="D646" s="15">
        <v>991</v>
      </c>
    </row>
    <row r="647" spans="1:4" x14ac:dyDescent="0.3">
      <c r="A647" t="s">
        <v>109</v>
      </c>
      <c r="B647" s="7">
        <v>11</v>
      </c>
      <c r="C647" t="s">
        <v>198</v>
      </c>
      <c r="D647" s="15">
        <v>515732</v>
      </c>
    </row>
    <row r="648" spans="1:4" x14ac:dyDescent="0.3">
      <c r="A648" t="s">
        <v>109</v>
      </c>
      <c r="B648" s="7">
        <v>11</v>
      </c>
      <c r="C648" t="s">
        <v>28</v>
      </c>
      <c r="D648" s="15">
        <v>15611</v>
      </c>
    </row>
    <row r="649" spans="1:4" x14ac:dyDescent="0.3">
      <c r="A649" t="s">
        <v>109</v>
      </c>
      <c r="B649" s="7">
        <v>11</v>
      </c>
      <c r="C649" t="s">
        <v>29</v>
      </c>
      <c r="D649" s="15" t="s">
        <v>56</v>
      </c>
    </row>
    <row r="650" spans="1:4" x14ac:dyDescent="0.3">
      <c r="A650" t="s">
        <v>109</v>
      </c>
      <c r="B650" s="7">
        <v>11</v>
      </c>
      <c r="C650" t="s">
        <v>30</v>
      </c>
      <c r="D650" s="15" t="s">
        <v>56</v>
      </c>
    </row>
    <row r="651" spans="1:4" x14ac:dyDescent="0.3">
      <c r="A651" t="s">
        <v>109</v>
      </c>
      <c r="B651" s="7">
        <v>11</v>
      </c>
      <c r="C651" t="s">
        <v>53</v>
      </c>
      <c r="D651" s="15">
        <v>-316050</v>
      </c>
    </row>
    <row r="652" spans="1:4" x14ac:dyDescent="0.3">
      <c r="A652" t="s">
        <v>109</v>
      </c>
      <c r="B652" s="7">
        <v>11</v>
      </c>
      <c r="C652" t="s">
        <v>31</v>
      </c>
      <c r="D652" s="15">
        <v>5092596</v>
      </c>
    </row>
    <row r="653" spans="1:4" x14ac:dyDescent="0.3">
      <c r="A653" t="s">
        <v>109</v>
      </c>
      <c r="B653" s="7">
        <v>11</v>
      </c>
      <c r="C653" t="s">
        <v>54</v>
      </c>
      <c r="D653" s="15">
        <v>1500000</v>
      </c>
    </row>
    <row r="654" spans="1:4" x14ac:dyDescent="0.3">
      <c r="A654" t="s">
        <v>109</v>
      </c>
      <c r="B654" s="7">
        <v>11</v>
      </c>
      <c r="C654" t="s">
        <v>199</v>
      </c>
      <c r="D654" s="15">
        <v>802709</v>
      </c>
    </row>
    <row r="655" spans="1:4" x14ac:dyDescent="0.3">
      <c r="A655" t="s">
        <v>109</v>
      </c>
      <c r="B655" s="7">
        <v>11</v>
      </c>
      <c r="C655" t="s">
        <v>32</v>
      </c>
      <c r="D655" s="15">
        <v>4790</v>
      </c>
    </row>
    <row r="656" spans="1:4" x14ac:dyDescent="0.3">
      <c r="A656" t="s">
        <v>109</v>
      </c>
      <c r="B656" s="7">
        <v>11</v>
      </c>
      <c r="C656" t="s">
        <v>33</v>
      </c>
      <c r="D656" s="15">
        <v>300</v>
      </c>
    </row>
    <row r="657" spans="1:4" x14ac:dyDescent="0.3">
      <c r="A657" t="s">
        <v>109</v>
      </c>
      <c r="B657" s="7">
        <v>11</v>
      </c>
      <c r="C657" t="s">
        <v>23</v>
      </c>
      <c r="D657" s="15">
        <v>2307799</v>
      </c>
    </row>
    <row r="658" spans="1:4" x14ac:dyDescent="0.3">
      <c r="A658" t="s">
        <v>109</v>
      </c>
      <c r="B658" s="7">
        <v>11</v>
      </c>
      <c r="C658" t="s">
        <v>54</v>
      </c>
      <c r="D658" s="15">
        <v>1500000</v>
      </c>
    </row>
    <row r="659" spans="1:4" x14ac:dyDescent="0.3">
      <c r="A659" t="s">
        <v>109</v>
      </c>
      <c r="B659" s="7">
        <v>11</v>
      </c>
      <c r="C659" t="s">
        <v>207</v>
      </c>
      <c r="D659" s="15">
        <v>10000</v>
      </c>
    </row>
    <row r="660" spans="1:4" x14ac:dyDescent="0.3">
      <c r="A660" t="s">
        <v>109</v>
      </c>
      <c r="B660" s="7">
        <v>11</v>
      </c>
      <c r="C660" t="s">
        <v>55</v>
      </c>
      <c r="D660" s="15">
        <v>306050</v>
      </c>
    </row>
    <row r="661" spans="1:4" x14ac:dyDescent="0.3">
      <c r="A661" t="s">
        <v>109</v>
      </c>
      <c r="B661" s="7">
        <v>11</v>
      </c>
      <c r="C661" t="s">
        <v>208</v>
      </c>
      <c r="D661" s="15">
        <v>316050</v>
      </c>
    </row>
    <row r="662" spans="1:4" x14ac:dyDescent="0.3">
      <c r="A662" t="s">
        <v>109</v>
      </c>
      <c r="B662" s="7">
        <v>11</v>
      </c>
      <c r="C662" t="s">
        <v>35</v>
      </c>
      <c r="D662" s="15">
        <v>5092596</v>
      </c>
    </row>
    <row r="663" spans="1:4" x14ac:dyDescent="0.3">
      <c r="A663" t="s">
        <v>109</v>
      </c>
      <c r="B663" s="7">
        <v>11</v>
      </c>
      <c r="C663" t="s">
        <v>36</v>
      </c>
      <c r="D663" s="15">
        <v>2307799</v>
      </c>
    </row>
    <row r="664" spans="1:4" x14ac:dyDescent="0.3">
      <c r="A664" t="s">
        <v>109</v>
      </c>
      <c r="B664" s="7">
        <v>11</v>
      </c>
      <c r="C664" t="s">
        <v>37</v>
      </c>
      <c r="D664" s="15">
        <v>7400395</v>
      </c>
    </row>
    <row r="665" spans="1:4" x14ac:dyDescent="0.3">
      <c r="A665" t="s">
        <v>109</v>
      </c>
      <c r="B665" s="7">
        <v>11</v>
      </c>
      <c r="C665" t="s">
        <v>38</v>
      </c>
      <c r="D665" s="20">
        <v>0.10299999999999999</v>
      </c>
    </row>
    <row r="666" spans="1:4" x14ac:dyDescent="0.3">
      <c r="A666" t="s">
        <v>109</v>
      </c>
      <c r="B666" s="7">
        <v>11</v>
      </c>
      <c r="C666" t="s">
        <v>39</v>
      </c>
      <c r="D666" s="20">
        <v>0.14960000000000001</v>
      </c>
    </row>
    <row r="667" spans="1:4" x14ac:dyDescent="0.3">
      <c r="A667" t="s">
        <v>109</v>
      </c>
      <c r="B667" s="7">
        <v>11</v>
      </c>
      <c r="C667" t="s">
        <v>194</v>
      </c>
      <c r="D667" s="15">
        <v>44300165</v>
      </c>
    </row>
    <row r="668" spans="1:4" x14ac:dyDescent="0.3">
      <c r="A668" t="s">
        <v>109</v>
      </c>
      <c r="B668" s="7">
        <v>11</v>
      </c>
      <c r="C668" t="s">
        <v>181</v>
      </c>
      <c r="D668" s="15">
        <v>2858509</v>
      </c>
    </row>
    <row r="669" spans="1:4" x14ac:dyDescent="0.3">
      <c r="A669" t="s">
        <v>109</v>
      </c>
      <c r="B669" s="7">
        <v>11</v>
      </c>
      <c r="C669" t="s">
        <v>182</v>
      </c>
      <c r="D669" s="15">
        <v>167720</v>
      </c>
    </row>
    <row r="670" spans="1:4" x14ac:dyDescent="0.3">
      <c r="A670" t="s">
        <v>109</v>
      </c>
      <c r="B670" s="7">
        <v>11</v>
      </c>
      <c r="C670" t="s">
        <v>209</v>
      </c>
      <c r="D670" s="15" t="s">
        <v>56</v>
      </c>
    </row>
    <row r="671" spans="1:4" x14ac:dyDescent="0.3">
      <c r="A671" t="s">
        <v>109</v>
      </c>
      <c r="B671" s="7">
        <v>11</v>
      </c>
      <c r="C671" t="s">
        <v>212</v>
      </c>
      <c r="D671" s="15">
        <v>719100</v>
      </c>
    </row>
    <row r="672" spans="1:4" x14ac:dyDescent="0.3">
      <c r="A672" t="s">
        <v>109</v>
      </c>
      <c r="B672" s="7">
        <v>11</v>
      </c>
      <c r="C672" t="s">
        <v>211</v>
      </c>
      <c r="D672" s="15">
        <v>1419792</v>
      </c>
    </row>
    <row r="673" spans="1:4" x14ac:dyDescent="0.3">
      <c r="A673" t="s">
        <v>109</v>
      </c>
      <c r="B673" s="7">
        <v>11</v>
      </c>
      <c r="C673" t="s">
        <v>203</v>
      </c>
      <c r="D673" s="15">
        <v>49465286</v>
      </c>
    </row>
    <row r="674" spans="1:4" x14ac:dyDescent="0.3">
      <c r="A674" t="s">
        <v>109</v>
      </c>
      <c r="B674" s="7">
        <v>11</v>
      </c>
      <c r="C674" t="s">
        <v>184</v>
      </c>
      <c r="D674" s="15" t="s">
        <v>56</v>
      </c>
    </row>
    <row r="675" spans="1:4" x14ac:dyDescent="0.3">
      <c r="A675" t="s">
        <v>109</v>
      </c>
      <c r="B675" s="7">
        <v>11</v>
      </c>
      <c r="C675" t="s">
        <v>185</v>
      </c>
      <c r="D675" s="15" t="s">
        <v>56</v>
      </c>
    </row>
    <row r="676" spans="1:4" x14ac:dyDescent="0.3">
      <c r="A676" t="s">
        <v>109</v>
      </c>
      <c r="B676" s="7">
        <v>11</v>
      </c>
      <c r="C676" t="s">
        <v>186</v>
      </c>
      <c r="D676" s="15">
        <v>2062942</v>
      </c>
    </row>
    <row r="677" spans="1:4" x14ac:dyDescent="0.3">
      <c r="A677" t="s">
        <v>109</v>
      </c>
      <c r="B677" s="7">
        <v>11</v>
      </c>
      <c r="C677" t="s">
        <v>187</v>
      </c>
      <c r="D677" s="15">
        <v>10972888</v>
      </c>
    </row>
    <row r="678" spans="1:4" x14ac:dyDescent="0.3">
      <c r="A678" t="s">
        <v>109</v>
      </c>
      <c r="B678" s="7">
        <v>11</v>
      </c>
      <c r="C678" t="s">
        <v>188</v>
      </c>
      <c r="D678" s="15">
        <v>18973972</v>
      </c>
    </row>
    <row r="679" spans="1:4" x14ac:dyDescent="0.3">
      <c r="A679" t="s">
        <v>109</v>
      </c>
      <c r="B679" s="7">
        <v>11</v>
      </c>
      <c r="C679" t="s">
        <v>189</v>
      </c>
      <c r="D679" s="15">
        <v>2589315</v>
      </c>
    </row>
    <row r="680" spans="1:4" x14ac:dyDescent="0.3">
      <c r="A680" t="s">
        <v>109</v>
      </c>
      <c r="B680" s="7">
        <v>11</v>
      </c>
      <c r="C680" t="s">
        <v>190</v>
      </c>
      <c r="D680" s="15">
        <v>320251</v>
      </c>
    </row>
    <row r="681" spans="1:4" x14ac:dyDescent="0.3">
      <c r="A681" t="s">
        <v>109</v>
      </c>
      <c r="B681" s="7">
        <v>11</v>
      </c>
      <c r="C681" t="s">
        <v>191</v>
      </c>
      <c r="D681" s="15">
        <v>1538778</v>
      </c>
    </row>
    <row r="682" spans="1:4" x14ac:dyDescent="0.3">
      <c r="A682" t="s">
        <v>109</v>
      </c>
      <c r="B682" s="7">
        <v>11</v>
      </c>
      <c r="C682" t="s">
        <v>192</v>
      </c>
      <c r="D682" s="15">
        <v>3660119</v>
      </c>
    </row>
    <row r="683" spans="1:4" x14ac:dyDescent="0.3">
      <c r="A683" t="s">
        <v>109</v>
      </c>
      <c r="B683" s="7">
        <v>11</v>
      </c>
      <c r="C683" t="s">
        <v>40</v>
      </c>
      <c r="D683" s="15">
        <v>1860860</v>
      </c>
    </row>
    <row r="684" spans="1:4" x14ac:dyDescent="0.3">
      <c r="A684" t="s">
        <v>109</v>
      </c>
      <c r="B684" s="7">
        <v>11</v>
      </c>
      <c r="C684" t="s">
        <v>41</v>
      </c>
      <c r="D684" s="15">
        <v>2059500</v>
      </c>
    </row>
    <row r="685" spans="1:4" x14ac:dyDescent="0.3">
      <c r="A685" t="s">
        <v>109</v>
      </c>
      <c r="B685" s="7">
        <v>11</v>
      </c>
      <c r="C685" t="s">
        <v>193</v>
      </c>
      <c r="D685" s="15">
        <v>261541</v>
      </c>
    </row>
    <row r="686" spans="1:4" x14ac:dyDescent="0.3">
      <c r="A686" t="s">
        <v>109</v>
      </c>
      <c r="B686" s="7">
        <v>11</v>
      </c>
      <c r="C686" t="s">
        <v>194</v>
      </c>
      <c r="D686" s="15">
        <v>44300165</v>
      </c>
    </row>
    <row r="687" spans="1:4" x14ac:dyDescent="0.3">
      <c r="A687" t="s">
        <v>109</v>
      </c>
      <c r="B687" s="7">
        <v>11</v>
      </c>
      <c r="C687" t="s">
        <v>181</v>
      </c>
      <c r="D687" s="15">
        <v>2858509</v>
      </c>
    </row>
    <row r="688" spans="1:4" x14ac:dyDescent="0.3">
      <c r="A688" t="s">
        <v>109</v>
      </c>
      <c r="B688" s="7">
        <v>11</v>
      </c>
      <c r="C688" t="s">
        <v>182</v>
      </c>
      <c r="D688" s="15">
        <v>167720</v>
      </c>
    </row>
    <row r="689" spans="1:6" x14ac:dyDescent="0.3">
      <c r="A689" t="s">
        <v>109</v>
      </c>
      <c r="B689" s="7">
        <v>11</v>
      </c>
      <c r="C689" t="s">
        <v>209</v>
      </c>
      <c r="D689" s="15" t="s">
        <v>56</v>
      </c>
    </row>
    <row r="690" spans="1:6" x14ac:dyDescent="0.3">
      <c r="A690" t="s">
        <v>109</v>
      </c>
      <c r="B690" s="7">
        <v>11</v>
      </c>
      <c r="C690" t="s">
        <v>210</v>
      </c>
      <c r="D690" s="15">
        <v>719100</v>
      </c>
    </row>
    <row r="691" spans="1:6" x14ac:dyDescent="0.3">
      <c r="A691" t="s">
        <v>109</v>
      </c>
      <c r="B691" s="7">
        <v>11</v>
      </c>
      <c r="C691" t="s">
        <v>211</v>
      </c>
      <c r="D691" s="15">
        <v>1419792</v>
      </c>
    </row>
    <row r="692" spans="1:6" x14ac:dyDescent="0.3">
      <c r="A692" t="s">
        <v>109</v>
      </c>
      <c r="B692" s="7">
        <v>11</v>
      </c>
      <c r="C692" t="s">
        <v>21</v>
      </c>
      <c r="D692" s="15">
        <v>7400395</v>
      </c>
    </row>
    <row r="693" spans="1:6" x14ac:dyDescent="0.3">
      <c r="A693" t="s">
        <v>109</v>
      </c>
      <c r="B693" s="7">
        <v>11</v>
      </c>
      <c r="C693" t="s">
        <v>22</v>
      </c>
      <c r="D693" s="20">
        <v>0.14960000000000001</v>
      </c>
    </row>
    <row r="694" spans="1:6" x14ac:dyDescent="0.3">
      <c r="A694" s="10" t="s">
        <v>109</v>
      </c>
      <c r="B694" s="7">
        <v>11</v>
      </c>
      <c r="C694" s="10" t="s">
        <v>20</v>
      </c>
      <c r="D694" s="21" t="s">
        <v>57</v>
      </c>
      <c r="E694" s="6" t="s">
        <v>64</v>
      </c>
      <c r="F694" s="6" t="s">
        <v>58</v>
      </c>
    </row>
    <row r="695" spans="1:6" x14ac:dyDescent="0.3">
      <c r="A695" t="s">
        <v>109</v>
      </c>
      <c r="B695" s="7">
        <v>11</v>
      </c>
      <c r="C695" t="s">
        <v>42</v>
      </c>
      <c r="D695" s="15" t="s">
        <v>56</v>
      </c>
      <c r="E695" s="3" t="s">
        <v>56</v>
      </c>
      <c r="F695" s="3" t="s">
        <v>56</v>
      </c>
    </row>
    <row r="696" spans="1:6" x14ac:dyDescent="0.3">
      <c r="A696" t="s">
        <v>109</v>
      </c>
      <c r="B696" s="7">
        <v>11</v>
      </c>
      <c r="C696" t="s">
        <v>43</v>
      </c>
      <c r="D696" s="15">
        <v>438262</v>
      </c>
      <c r="E696" s="3">
        <v>105813</v>
      </c>
      <c r="F696" s="3">
        <v>332450</v>
      </c>
    </row>
    <row r="697" spans="1:6" x14ac:dyDescent="0.3">
      <c r="A697" t="s">
        <v>109</v>
      </c>
      <c r="B697" s="7">
        <v>11</v>
      </c>
      <c r="C697" t="s">
        <v>44</v>
      </c>
      <c r="D697" s="15">
        <v>175847</v>
      </c>
      <c r="E697" s="3">
        <v>87924</v>
      </c>
      <c r="F697" s="3">
        <v>87924</v>
      </c>
    </row>
    <row r="698" spans="1:6" x14ac:dyDescent="0.3">
      <c r="A698" t="s">
        <v>109</v>
      </c>
      <c r="B698" s="7">
        <v>11</v>
      </c>
      <c r="C698" t="s">
        <v>45</v>
      </c>
      <c r="D698" s="15">
        <v>85039</v>
      </c>
      <c r="E698" s="3">
        <v>84769</v>
      </c>
      <c r="F698" s="3">
        <v>270</v>
      </c>
    </row>
    <row r="699" spans="1:6" x14ac:dyDescent="0.3">
      <c r="A699" t="s">
        <v>109</v>
      </c>
      <c r="B699" s="7">
        <v>11</v>
      </c>
      <c r="C699" t="s">
        <v>195</v>
      </c>
      <c r="D699" s="20">
        <v>1.37E-2</v>
      </c>
    </row>
    <row r="700" spans="1:6" x14ac:dyDescent="0.3">
      <c r="A700" t="s">
        <v>109</v>
      </c>
      <c r="B700" s="7">
        <v>11</v>
      </c>
      <c r="C700" t="s">
        <v>196</v>
      </c>
      <c r="D700" s="20">
        <v>8.3999999999999995E-3</v>
      </c>
    </row>
    <row r="701" spans="1:6" ht="43.2" x14ac:dyDescent="0.3">
      <c r="A701" s="10" t="s">
        <v>109</v>
      </c>
      <c r="B701" s="7">
        <v>11</v>
      </c>
      <c r="C701" s="10" t="s">
        <v>20</v>
      </c>
      <c r="D701" s="22" t="s">
        <v>131</v>
      </c>
      <c r="E701" s="5" t="s">
        <v>79</v>
      </c>
      <c r="F701" s="6" t="s">
        <v>59</v>
      </c>
    </row>
    <row r="702" spans="1:6" x14ac:dyDescent="0.3">
      <c r="A702" t="s">
        <v>109</v>
      </c>
      <c r="B702" s="7">
        <v>11</v>
      </c>
      <c r="C702" t="s">
        <v>42</v>
      </c>
      <c r="D702" s="15" t="s">
        <v>56</v>
      </c>
      <c r="E702" s="3" t="s">
        <v>56</v>
      </c>
      <c r="F702" s="3" t="s">
        <v>56</v>
      </c>
    </row>
    <row r="703" spans="1:6" x14ac:dyDescent="0.3">
      <c r="A703" t="s">
        <v>109</v>
      </c>
      <c r="B703" s="7">
        <v>11</v>
      </c>
      <c r="C703" t="s">
        <v>43</v>
      </c>
      <c r="D703" s="15">
        <v>438262</v>
      </c>
      <c r="E703" s="3">
        <v>507543</v>
      </c>
      <c r="F703" s="3">
        <v>-69281</v>
      </c>
    </row>
    <row r="704" spans="1:6" x14ac:dyDescent="0.3">
      <c r="A704" t="s">
        <v>109</v>
      </c>
      <c r="B704" s="7">
        <v>11</v>
      </c>
      <c r="C704" t="s">
        <v>44</v>
      </c>
      <c r="D704" s="15">
        <v>175847</v>
      </c>
      <c r="E704" s="3">
        <v>65508</v>
      </c>
      <c r="F704" s="3">
        <v>110339</v>
      </c>
    </row>
    <row r="705" spans="1:7" x14ac:dyDescent="0.3">
      <c r="A705" t="s">
        <v>109</v>
      </c>
      <c r="B705" s="7">
        <v>11</v>
      </c>
      <c r="C705" t="s">
        <v>45</v>
      </c>
      <c r="D705" s="15">
        <v>85039</v>
      </c>
      <c r="E705" s="3">
        <v>164032</v>
      </c>
      <c r="F705" s="3">
        <v>-78993</v>
      </c>
    </row>
    <row r="706" spans="1:7" x14ac:dyDescent="0.3">
      <c r="A706" t="s">
        <v>109</v>
      </c>
      <c r="B706" s="7">
        <v>11</v>
      </c>
      <c r="C706" t="s">
        <v>200</v>
      </c>
      <c r="D706" s="15" t="s">
        <v>56</v>
      </c>
    </row>
    <row r="707" spans="1:7" x14ac:dyDescent="0.3">
      <c r="A707" t="s">
        <v>109</v>
      </c>
      <c r="B707" s="7">
        <v>11</v>
      </c>
      <c r="C707" t="s">
        <v>201</v>
      </c>
      <c r="D707" s="15" t="s">
        <v>56</v>
      </c>
    </row>
    <row r="708" spans="1:7" ht="43.2" x14ac:dyDescent="0.3">
      <c r="A708" s="10" t="s">
        <v>109</v>
      </c>
      <c r="B708" s="7">
        <v>11</v>
      </c>
      <c r="C708" s="10" t="s">
        <v>46</v>
      </c>
      <c r="D708" s="22" t="s">
        <v>132</v>
      </c>
      <c r="E708" s="5" t="s">
        <v>79</v>
      </c>
      <c r="F708" s="6" t="s">
        <v>59</v>
      </c>
      <c r="G708" s="8" t="s">
        <v>61</v>
      </c>
    </row>
    <row r="709" spans="1:7" x14ac:dyDescent="0.3">
      <c r="A709" t="s">
        <v>109</v>
      </c>
      <c r="B709" s="7">
        <v>11</v>
      </c>
      <c r="C709" t="s">
        <v>47</v>
      </c>
      <c r="D709" s="15">
        <v>1081214</v>
      </c>
      <c r="E709" s="3">
        <v>1072023</v>
      </c>
      <c r="F709" s="3">
        <v>9191</v>
      </c>
      <c r="G709" s="4">
        <v>8.6E-3</v>
      </c>
    </row>
    <row r="710" spans="1:7" x14ac:dyDescent="0.3">
      <c r="A710" t="s">
        <v>109</v>
      </c>
      <c r="B710" s="7">
        <v>11</v>
      </c>
      <c r="C710" t="s">
        <v>48</v>
      </c>
      <c r="D710" s="15">
        <v>494682</v>
      </c>
      <c r="E710" s="3">
        <v>413455</v>
      </c>
      <c r="F710" s="3">
        <v>81227</v>
      </c>
      <c r="G710" s="4">
        <v>0.19650000000000001</v>
      </c>
    </row>
    <row r="711" spans="1:7" x14ac:dyDescent="0.3">
      <c r="A711" t="s">
        <v>108</v>
      </c>
      <c r="B711" s="7">
        <v>12</v>
      </c>
      <c r="C711" t="s">
        <v>197</v>
      </c>
      <c r="D711" s="15">
        <v>4267753</v>
      </c>
    </row>
    <row r="712" spans="1:7" x14ac:dyDescent="0.3">
      <c r="A712" t="s">
        <v>108</v>
      </c>
      <c r="B712" s="7">
        <v>12</v>
      </c>
      <c r="C712" t="s">
        <v>24</v>
      </c>
      <c r="D712" s="15" t="s">
        <v>56</v>
      </c>
    </row>
    <row r="713" spans="1:7" x14ac:dyDescent="0.3">
      <c r="A713" t="s">
        <v>108</v>
      </c>
      <c r="B713" s="7">
        <v>12</v>
      </c>
      <c r="C713" t="s">
        <v>25</v>
      </c>
      <c r="D713" s="15" t="s">
        <v>56</v>
      </c>
    </row>
    <row r="714" spans="1:7" x14ac:dyDescent="0.3">
      <c r="A714" t="s">
        <v>108</v>
      </c>
      <c r="B714" s="7">
        <v>12</v>
      </c>
      <c r="C714" t="s">
        <v>26</v>
      </c>
      <c r="D714" s="15">
        <v>748859</v>
      </c>
    </row>
    <row r="715" spans="1:7" x14ac:dyDescent="0.3">
      <c r="A715" t="s">
        <v>108</v>
      </c>
      <c r="B715" s="7">
        <v>12</v>
      </c>
      <c r="C715" t="s">
        <v>27</v>
      </c>
      <c r="D715" s="15">
        <v>991</v>
      </c>
    </row>
    <row r="716" spans="1:7" x14ac:dyDescent="0.3">
      <c r="A716" t="s">
        <v>108</v>
      </c>
      <c r="B716" s="7">
        <v>12</v>
      </c>
      <c r="C716" t="s">
        <v>198</v>
      </c>
      <c r="D716" s="15">
        <v>359993</v>
      </c>
    </row>
    <row r="717" spans="1:7" x14ac:dyDescent="0.3">
      <c r="A717" t="s">
        <v>108</v>
      </c>
      <c r="B717" s="7">
        <v>12</v>
      </c>
      <c r="C717" t="s">
        <v>28</v>
      </c>
      <c r="D717" s="15">
        <v>15611</v>
      </c>
    </row>
    <row r="718" spans="1:7" x14ac:dyDescent="0.3">
      <c r="A718" t="s">
        <v>108</v>
      </c>
      <c r="B718" s="7">
        <v>12</v>
      </c>
      <c r="C718" t="s">
        <v>29</v>
      </c>
      <c r="D718" s="15" t="s">
        <v>56</v>
      </c>
    </row>
    <row r="719" spans="1:7" x14ac:dyDescent="0.3">
      <c r="A719" t="s">
        <v>108</v>
      </c>
      <c r="B719" s="7">
        <v>12</v>
      </c>
      <c r="C719" t="s">
        <v>30</v>
      </c>
      <c r="D719" s="15" t="s">
        <v>56</v>
      </c>
    </row>
    <row r="720" spans="1:7" x14ac:dyDescent="0.3">
      <c r="A720" t="s">
        <v>108</v>
      </c>
      <c r="B720" s="7">
        <v>12</v>
      </c>
      <c r="C720" t="s">
        <v>53</v>
      </c>
      <c r="D720" s="15">
        <v>-10000</v>
      </c>
    </row>
    <row r="721" spans="1:4" x14ac:dyDescent="0.3">
      <c r="A721" t="s">
        <v>108</v>
      </c>
      <c r="B721" s="7">
        <v>12</v>
      </c>
      <c r="C721" t="s">
        <v>31</v>
      </c>
      <c r="D721" s="15">
        <v>5383207</v>
      </c>
    </row>
    <row r="722" spans="1:4" x14ac:dyDescent="0.3">
      <c r="A722" t="s">
        <v>108</v>
      </c>
      <c r="B722" s="7">
        <v>12</v>
      </c>
      <c r="C722" t="s">
        <v>54</v>
      </c>
      <c r="D722" s="15">
        <v>1500000</v>
      </c>
    </row>
    <row r="723" spans="1:4" x14ac:dyDescent="0.3">
      <c r="A723" t="s">
        <v>108</v>
      </c>
      <c r="B723" s="7">
        <v>12</v>
      </c>
      <c r="C723" t="s">
        <v>199</v>
      </c>
      <c r="D723" s="15">
        <v>721407</v>
      </c>
    </row>
    <row r="724" spans="1:4" x14ac:dyDescent="0.3">
      <c r="A724" t="s">
        <v>108</v>
      </c>
      <c r="B724" s="7">
        <v>12</v>
      </c>
      <c r="C724" t="s">
        <v>32</v>
      </c>
      <c r="D724" s="15">
        <v>4790</v>
      </c>
    </row>
    <row r="725" spans="1:4" x14ac:dyDescent="0.3">
      <c r="A725" t="s">
        <v>108</v>
      </c>
      <c r="B725" s="7">
        <v>12</v>
      </c>
      <c r="C725" t="s">
        <v>33</v>
      </c>
      <c r="D725" s="15">
        <v>300</v>
      </c>
    </row>
    <row r="726" spans="1:4" x14ac:dyDescent="0.3">
      <c r="A726" t="s">
        <v>108</v>
      </c>
      <c r="B726" s="7">
        <v>12</v>
      </c>
      <c r="C726" t="s">
        <v>23</v>
      </c>
      <c r="D726" s="15">
        <v>2226497</v>
      </c>
    </row>
    <row r="727" spans="1:4" x14ac:dyDescent="0.3">
      <c r="A727" t="s">
        <v>108</v>
      </c>
      <c r="B727" s="7">
        <v>12</v>
      </c>
      <c r="C727" t="s">
        <v>54</v>
      </c>
      <c r="D727" s="15">
        <v>1500000</v>
      </c>
    </row>
    <row r="728" spans="1:4" x14ac:dyDescent="0.3">
      <c r="A728" t="s">
        <v>108</v>
      </c>
      <c r="B728" s="7">
        <v>12</v>
      </c>
      <c r="C728" t="s">
        <v>207</v>
      </c>
      <c r="D728" s="15">
        <v>-10000</v>
      </c>
    </row>
    <row r="729" spans="1:4" x14ac:dyDescent="0.3">
      <c r="A729" t="s">
        <v>108</v>
      </c>
      <c r="B729" s="7">
        <v>12</v>
      </c>
      <c r="C729" t="s">
        <v>55</v>
      </c>
    </row>
    <row r="730" spans="1:4" x14ac:dyDescent="0.3">
      <c r="A730" t="s">
        <v>108</v>
      </c>
      <c r="B730" s="7">
        <v>12</v>
      </c>
      <c r="C730" t="s">
        <v>208</v>
      </c>
      <c r="D730" s="15">
        <v>-10000</v>
      </c>
    </row>
    <row r="731" spans="1:4" x14ac:dyDescent="0.3">
      <c r="A731" t="s">
        <v>108</v>
      </c>
      <c r="B731" s="7">
        <v>12</v>
      </c>
      <c r="C731" t="s">
        <v>35</v>
      </c>
      <c r="D731" s="15">
        <v>5383207</v>
      </c>
    </row>
    <row r="732" spans="1:4" x14ac:dyDescent="0.3">
      <c r="A732" t="s">
        <v>108</v>
      </c>
      <c r="B732" s="7">
        <v>12</v>
      </c>
      <c r="C732" t="s">
        <v>36</v>
      </c>
      <c r="D732" s="15">
        <v>2226497</v>
      </c>
    </row>
    <row r="733" spans="1:4" x14ac:dyDescent="0.3">
      <c r="A733" t="s">
        <v>108</v>
      </c>
      <c r="B733" s="7">
        <v>12</v>
      </c>
      <c r="C733" t="s">
        <v>37</v>
      </c>
      <c r="D733" s="15">
        <v>7609704</v>
      </c>
    </row>
    <row r="734" spans="1:4" x14ac:dyDescent="0.3">
      <c r="A734" t="s">
        <v>108</v>
      </c>
      <c r="B734" s="7">
        <v>12</v>
      </c>
      <c r="C734" t="s">
        <v>38</v>
      </c>
      <c r="D734" s="20">
        <v>9.3899999999999997E-2</v>
      </c>
    </row>
    <row r="735" spans="1:4" x14ac:dyDescent="0.3">
      <c r="A735" t="s">
        <v>108</v>
      </c>
      <c r="B735" s="7">
        <v>12</v>
      </c>
      <c r="C735" t="s">
        <v>39</v>
      </c>
      <c r="D735" s="20">
        <v>0.1328</v>
      </c>
    </row>
    <row r="736" spans="1:4" x14ac:dyDescent="0.3">
      <c r="A736" t="s">
        <v>108</v>
      </c>
      <c r="B736" s="7">
        <v>12</v>
      </c>
      <c r="C736" t="s">
        <v>194</v>
      </c>
      <c r="D736" s="15">
        <v>51650530</v>
      </c>
    </row>
    <row r="737" spans="1:4" x14ac:dyDescent="0.3">
      <c r="A737" t="s">
        <v>108</v>
      </c>
      <c r="B737" s="7">
        <v>12</v>
      </c>
      <c r="C737" t="s">
        <v>181</v>
      </c>
      <c r="D737" s="15">
        <v>2858509</v>
      </c>
    </row>
    <row r="738" spans="1:4" x14ac:dyDescent="0.3">
      <c r="A738" t="s">
        <v>108</v>
      </c>
      <c r="B738" s="7">
        <v>12</v>
      </c>
      <c r="C738" t="s">
        <v>182</v>
      </c>
      <c r="D738" s="15">
        <v>433386</v>
      </c>
    </row>
    <row r="739" spans="1:4" x14ac:dyDescent="0.3">
      <c r="A739" t="s">
        <v>108</v>
      </c>
      <c r="B739" s="7">
        <v>12</v>
      </c>
      <c r="C739" t="s">
        <v>209</v>
      </c>
      <c r="D739" s="15" t="s">
        <v>56</v>
      </c>
    </row>
    <row r="740" spans="1:4" x14ac:dyDescent="0.3">
      <c r="A740" t="s">
        <v>108</v>
      </c>
      <c r="B740" s="7">
        <v>12</v>
      </c>
      <c r="C740" t="s">
        <v>210</v>
      </c>
      <c r="D740" s="15">
        <v>719100</v>
      </c>
    </row>
    <row r="741" spans="1:4" x14ac:dyDescent="0.3">
      <c r="A741" t="s">
        <v>108</v>
      </c>
      <c r="B741" s="7">
        <v>12</v>
      </c>
      <c r="C741" t="s">
        <v>211</v>
      </c>
      <c r="D741" s="15">
        <v>1648273</v>
      </c>
    </row>
    <row r="742" spans="1:4" x14ac:dyDescent="0.3">
      <c r="A742" t="s">
        <v>108</v>
      </c>
      <c r="B742" s="7">
        <v>12</v>
      </c>
      <c r="C742" t="s">
        <v>203</v>
      </c>
      <c r="D742" s="15">
        <v>57309797</v>
      </c>
    </row>
    <row r="743" spans="1:4" x14ac:dyDescent="0.3">
      <c r="A743" t="s">
        <v>108</v>
      </c>
      <c r="B743" s="7">
        <v>12</v>
      </c>
      <c r="C743" t="s">
        <v>184</v>
      </c>
      <c r="D743" s="15" t="s">
        <v>56</v>
      </c>
    </row>
    <row r="744" spans="1:4" x14ac:dyDescent="0.3">
      <c r="A744" t="s">
        <v>108</v>
      </c>
      <c r="B744" s="7">
        <v>12</v>
      </c>
      <c r="C744" t="s">
        <v>185</v>
      </c>
      <c r="D744" s="15" t="s">
        <v>56</v>
      </c>
    </row>
    <row r="745" spans="1:4" x14ac:dyDescent="0.3">
      <c r="A745" t="s">
        <v>108</v>
      </c>
      <c r="B745" s="7">
        <v>12</v>
      </c>
      <c r="C745" t="s">
        <v>186</v>
      </c>
      <c r="D745" s="15">
        <v>2206573</v>
      </c>
    </row>
    <row r="746" spans="1:4" x14ac:dyDescent="0.3">
      <c r="A746" t="s">
        <v>108</v>
      </c>
      <c r="B746" s="7">
        <v>12</v>
      </c>
      <c r="C746" t="s">
        <v>187</v>
      </c>
      <c r="D746" s="15">
        <v>11737325</v>
      </c>
    </row>
    <row r="747" spans="1:4" x14ac:dyDescent="0.3">
      <c r="A747" t="s">
        <v>108</v>
      </c>
      <c r="B747" s="7">
        <v>12</v>
      </c>
      <c r="C747" t="s">
        <v>188</v>
      </c>
      <c r="D747" s="15">
        <v>13369396</v>
      </c>
    </row>
    <row r="748" spans="1:4" x14ac:dyDescent="0.3">
      <c r="A748" t="s">
        <v>108</v>
      </c>
      <c r="B748" s="7">
        <v>12</v>
      </c>
      <c r="C748" t="s">
        <v>189</v>
      </c>
      <c r="D748" s="15">
        <v>2665161</v>
      </c>
    </row>
    <row r="749" spans="1:4" x14ac:dyDescent="0.3">
      <c r="A749" t="s">
        <v>108</v>
      </c>
      <c r="B749" s="7">
        <v>12</v>
      </c>
      <c r="C749" t="s">
        <v>190</v>
      </c>
      <c r="D749" s="15">
        <v>169092</v>
      </c>
    </row>
    <row r="750" spans="1:4" x14ac:dyDescent="0.3">
      <c r="A750" t="s">
        <v>108</v>
      </c>
      <c r="B750" s="7">
        <v>12</v>
      </c>
      <c r="C750" t="s">
        <v>191</v>
      </c>
      <c r="D750" s="15">
        <v>1800806</v>
      </c>
    </row>
    <row r="751" spans="1:4" x14ac:dyDescent="0.3">
      <c r="A751" t="s">
        <v>108</v>
      </c>
      <c r="B751" s="7">
        <v>12</v>
      </c>
      <c r="C751" t="s">
        <v>192</v>
      </c>
      <c r="D751" s="15">
        <v>16392144</v>
      </c>
    </row>
    <row r="752" spans="1:4" x14ac:dyDescent="0.3">
      <c r="A752" t="s">
        <v>108</v>
      </c>
      <c r="B752" s="7">
        <v>12</v>
      </c>
      <c r="C752" t="s">
        <v>40</v>
      </c>
      <c r="D752" s="15" t="s">
        <v>56</v>
      </c>
    </row>
    <row r="753" spans="1:6" x14ac:dyDescent="0.3">
      <c r="A753" t="s">
        <v>108</v>
      </c>
      <c r="B753" s="7">
        <v>12</v>
      </c>
      <c r="C753" t="s">
        <v>41</v>
      </c>
      <c r="D753" s="15">
        <v>2720416</v>
      </c>
    </row>
    <row r="754" spans="1:6" x14ac:dyDescent="0.3">
      <c r="A754" t="s">
        <v>108</v>
      </c>
      <c r="B754" s="7">
        <v>12</v>
      </c>
      <c r="C754" t="s">
        <v>193</v>
      </c>
      <c r="D754" s="15">
        <v>589618</v>
      </c>
    </row>
    <row r="755" spans="1:6" x14ac:dyDescent="0.3">
      <c r="A755" t="s">
        <v>108</v>
      </c>
      <c r="B755" s="7">
        <v>12</v>
      </c>
      <c r="C755" t="s">
        <v>194</v>
      </c>
      <c r="D755" s="15">
        <v>51650530</v>
      </c>
    </row>
    <row r="756" spans="1:6" x14ac:dyDescent="0.3">
      <c r="A756" t="s">
        <v>108</v>
      </c>
      <c r="B756" s="7">
        <v>12</v>
      </c>
      <c r="C756" t="s">
        <v>181</v>
      </c>
      <c r="D756" s="15">
        <v>2858509</v>
      </c>
    </row>
    <row r="757" spans="1:6" x14ac:dyDescent="0.3">
      <c r="A757" t="s">
        <v>108</v>
      </c>
      <c r="B757" s="7">
        <v>12</v>
      </c>
      <c r="C757" t="s">
        <v>182</v>
      </c>
      <c r="D757" s="15">
        <v>433386</v>
      </c>
    </row>
    <row r="758" spans="1:6" x14ac:dyDescent="0.3">
      <c r="A758" t="s">
        <v>108</v>
      </c>
      <c r="B758" s="7">
        <v>12</v>
      </c>
      <c r="C758" t="s">
        <v>209</v>
      </c>
      <c r="D758" s="15" t="s">
        <v>56</v>
      </c>
    </row>
    <row r="759" spans="1:6" x14ac:dyDescent="0.3">
      <c r="A759" t="s">
        <v>108</v>
      </c>
      <c r="B759" s="7">
        <v>12</v>
      </c>
      <c r="C759" t="s">
        <v>212</v>
      </c>
      <c r="D759" s="15">
        <v>719100</v>
      </c>
    </row>
    <row r="760" spans="1:6" x14ac:dyDescent="0.3">
      <c r="A760" t="s">
        <v>108</v>
      </c>
      <c r="B760" s="7">
        <v>12</v>
      </c>
      <c r="C760" t="s">
        <v>211</v>
      </c>
      <c r="D760" s="15">
        <v>1648273</v>
      </c>
    </row>
    <row r="761" spans="1:6" x14ac:dyDescent="0.3">
      <c r="A761" t="s">
        <v>108</v>
      </c>
      <c r="B761" s="7">
        <v>12</v>
      </c>
      <c r="C761" t="s">
        <v>203</v>
      </c>
      <c r="D761" s="15">
        <v>57309797</v>
      </c>
    </row>
    <row r="762" spans="1:6" x14ac:dyDescent="0.3">
      <c r="A762" t="s">
        <v>108</v>
      </c>
      <c r="B762" s="7">
        <v>12</v>
      </c>
      <c r="C762" t="s">
        <v>21</v>
      </c>
      <c r="D762" s="15">
        <v>7609704</v>
      </c>
    </row>
    <row r="763" spans="1:6" x14ac:dyDescent="0.3">
      <c r="A763" t="s">
        <v>108</v>
      </c>
      <c r="B763" s="7">
        <v>12</v>
      </c>
      <c r="C763" t="s">
        <v>22</v>
      </c>
      <c r="D763" s="20">
        <v>0.1328</v>
      </c>
    </row>
    <row r="764" spans="1:6" x14ac:dyDescent="0.3">
      <c r="A764" s="10" t="s">
        <v>108</v>
      </c>
      <c r="B764" s="7">
        <v>12</v>
      </c>
      <c r="C764" s="10" t="s">
        <v>20</v>
      </c>
      <c r="D764" s="21" t="s">
        <v>57</v>
      </c>
      <c r="E764" s="6" t="s">
        <v>64</v>
      </c>
      <c r="F764" s="6" t="s">
        <v>58</v>
      </c>
    </row>
    <row r="765" spans="1:6" x14ac:dyDescent="0.3">
      <c r="A765" t="s">
        <v>108</v>
      </c>
      <c r="B765" s="7">
        <v>12</v>
      </c>
      <c r="C765" t="s">
        <v>42</v>
      </c>
      <c r="D765" s="15" t="s">
        <v>56</v>
      </c>
      <c r="E765" s="3" t="s">
        <v>56</v>
      </c>
      <c r="F765" s="3" t="s">
        <v>56</v>
      </c>
    </row>
    <row r="766" spans="1:6" x14ac:dyDescent="0.3">
      <c r="A766" t="s">
        <v>108</v>
      </c>
      <c r="B766" s="7">
        <v>12</v>
      </c>
      <c r="C766" t="s">
        <v>43</v>
      </c>
      <c r="D766" s="15">
        <v>350212</v>
      </c>
      <c r="E766" s="3">
        <v>83029</v>
      </c>
      <c r="F766" s="3">
        <v>267182</v>
      </c>
    </row>
    <row r="767" spans="1:6" x14ac:dyDescent="0.3">
      <c r="A767" t="s">
        <v>108</v>
      </c>
      <c r="B767" s="7">
        <v>12</v>
      </c>
      <c r="C767" t="s">
        <v>44</v>
      </c>
      <c r="D767" s="15">
        <v>164060</v>
      </c>
      <c r="E767" s="3">
        <v>79150</v>
      </c>
      <c r="F767" s="3">
        <v>84910</v>
      </c>
    </row>
    <row r="768" spans="1:6" x14ac:dyDescent="0.3">
      <c r="A768" t="s">
        <v>108</v>
      </c>
      <c r="B768" s="7">
        <v>12</v>
      </c>
      <c r="C768" t="s">
        <v>45</v>
      </c>
      <c r="D768" s="15">
        <v>214163</v>
      </c>
      <c r="E768" s="3">
        <v>213893</v>
      </c>
      <c r="F768" s="3">
        <v>270</v>
      </c>
    </row>
    <row r="769" spans="1:7" x14ac:dyDescent="0.3">
      <c r="A769" t="s">
        <v>108</v>
      </c>
      <c r="B769" s="7">
        <v>12</v>
      </c>
      <c r="C769" t="s">
        <v>195</v>
      </c>
      <c r="D769" s="20">
        <v>1.4200000000000001E-2</v>
      </c>
    </row>
    <row r="770" spans="1:7" x14ac:dyDescent="0.3">
      <c r="A770" t="s">
        <v>108</v>
      </c>
      <c r="B770" s="7">
        <v>12</v>
      </c>
      <c r="C770" t="s">
        <v>196</v>
      </c>
      <c r="D770" s="20">
        <v>7.0000000000000001E-3</v>
      </c>
    </row>
    <row r="771" spans="1:7" ht="57.6" x14ac:dyDescent="0.3">
      <c r="A771" s="10" t="s">
        <v>108</v>
      </c>
      <c r="B771" s="7">
        <v>12</v>
      </c>
      <c r="C771" s="10" t="s">
        <v>20</v>
      </c>
      <c r="D771" s="22" t="s">
        <v>130</v>
      </c>
      <c r="E771" s="5" t="s">
        <v>78</v>
      </c>
      <c r="F771" s="6" t="s">
        <v>59</v>
      </c>
    </row>
    <row r="772" spans="1:7" x14ac:dyDescent="0.3">
      <c r="A772" t="s">
        <v>108</v>
      </c>
      <c r="B772" s="7">
        <v>12</v>
      </c>
      <c r="C772" t="s">
        <v>42</v>
      </c>
      <c r="D772" s="15" t="s">
        <v>56</v>
      </c>
      <c r="E772" s="3" t="s">
        <v>56</v>
      </c>
      <c r="F772" s="3" t="s">
        <v>56</v>
      </c>
    </row>
    <row r="773" spans="1:7" x14ac:dyDescent="0.3">
      <c r="A773" t="s">
        <v>108</v>
      </c>
      <c r="B773" s="7">
        <v>12</v>
      </c>
      <c r="C773" t="s">
        <v>43</v>
      </c>
      <c r="D773" s="15">
        <v>350212</v>
      </c>
      <c r="E773" s="3">
        <v>438262</v>
      </c>
      <c r="F773" s="3">
        <v>-88051</v>
      </c>
    </row>
    <row r="774" spans="1:7" x14ac:dyDescent="0.3">
      <c r="A774" t="s">
        <v>108</v>
      </c>
      <c r="B774" s="7">
        <v>12</v>
      </c>
      <c r="C774" t="s">
        <v>44</v>
      </c>
      <c r="D774" s="15">
        <v>164060</v>
      </c>
      <c r="E774" s="3">
        <v>175847</v>
      </c>
      <c r="F774" s="3">
        <v>-11787</v>
      </c>
    </row>
    <row r="775" spans="1:7" x14ac:dyDescent="0.3">
      <c r="A775" t="s">
        <v>108</v>
      </c>
      <c r="B775" s="7">
        <v>12</v>
      </c>
      <c r="C775" t="s">
        <v>45</v>
      </c>
      <c r="D775" s="15">
        <v>214163</v>
      </c>
      <c r="E775" s="3">
        <v>85039</v>
      </c>
      <c r="F775" s="3">
        <v>129124</v>
      </c>
    </row>
    <row r="776" spans="1:7" x14ac:dyDescent="0.3">
      <c r="A776" t="s">
        <v>108</v>
      </c>
      <c r="B776" s="7">
        <v>12</v>
      </c>
      <c r="C776" t="s">
        <v>200</v>
      </c>
      <c r="D776" s="15" t="s">
        <v>56</v>
      </c>
    </row>
    <row r="777" spans="1:7" x14ac:dyDescent="0.3">
      <c r="A777" t="s">
        <v>108</v>
      </c>
      <c r="B777" s="7">
        <v>12</v>
      </c>
      <c r="C777" t="s">
        <v>201</v>
      </c>
      <c r="D777" s="15" t="s">
        <v>56</v>
      </c>
    </row>
    <row r="778" spans="1:7" ht="57.6" x14ac:dyDescent="0.3">
      <c r="A778" s="10" t="s">
        <v>108</v>
      </c>
      <c r="B778" s="7">
        <v>12</v>
      </c>
      <c r="C778" s="10" t="s">
        <v>46</v>
      </c>
      <c r="D778" s="22" t="s">
        <v>130</v>
      </c>
      <c r="E778" s="5" t="s">
        <v>78</v>
      </c>
      <c r="F778" s="6" t="s">
        <v>59</v>
      </c>
      <c r="G778" s="8" t="s">
        <v>61</v>
      </c>
    </row>
    <row r="779" spans="1:7" x14ac:dyDescent="0.3">
      <c r="A779" t="s">
        <v>108</v>
      </c>
      <c r="B779" s="7">
        <v>12</v>
      </c>
      <c r="C779" t="s">
        <v>47</v>
      </c>
      <c r="D779" s="15">
        <v>1097479</v>
      </c>
      <c r="E779" s="3">
        <v>1081214</v>
      </c>
      <c r="F779" s="3">
        <v>16266</v>
      </c>
      <c r="G779" s="4">
        <v>1.4999999999999999E-2</v>
      </c>
    </row>
    <row r="780" spans="1:7" x14ac:dyDescent="0.3">
      <c r="A780" t="s">
        <v>108</v>
      </c>
      <c r="B780" s="7">
        <v>12</v>
      </c>
      <c r="C780" t="s">
        <v>48</v>
      </c>
      <c r="D780" s="15">
        <v>351789</v>
      </c>
      <c r="E780" s="3">
        <v>494682</v>
      </c>
      <c r="F780" s="3">
        <v>-142892</v>
      </c>
      <c r="G780" s="4">
        <v>-0.28889999999999999</v>
      </c>
    </row>
    <row r="781" spans="1:7" x14ac:dyDescent="0.3">
      <c r="A781" t="s">
        <v>100</v>
      </c>
      <c r="B781" s="7">
        <v>13</v>
      </c>
      <c r="C781" t="s">
        <v>197</v>
      </c>
      <c r="D781" s="15">
        <v>4267753</v>
      </c>
    </row>
    <row r="782" spans="1:7" x14ac:dyDescent="0.3">
      <c r="A782" t="s">
        <v>100</v>
      </c>
      <c r="B782" s="7">
        <v>13</v>
      </c>
      <c r="C782" t="s">
        <v>213</v>
      </c>
      <c r="D782" s="15" t="s">
        <v>56</v>
      </c>
    </row>
    <row r="783" spans="1:7" x14ac:dyDescent="0.3">
      <c r="A783" t="s">
        <v>100</v>
      </c>
      <c r="B783" s="7">
        <v>13</v>
      </c>
      <c r="C783" t="s">
        <v>24</v>
      </c>
      <c r="D783" s="15" t="s">
        <v>56</v>
      </c>
    </row>
    <row r="784" spans="1:7" x14ac:dyDescent="0.3">
      <c r="A784" t="s">
        <v>100</v>
      </c>
      <c r="B784" s="7">
        <v>13</v>
      </c>
      <c r="C784" t="s">
        <v>25</v>
      </c>
      <c r="D784" s="15" t="s">
        <v>56</v>
      </c>
    </row>
    <row r="785" spans="1:4" x14ac:dyDescent="0.3">
      <c r="A785" t="s">
        <v>100</v>
      </c>
      <c r="B785" s="7">
        <v>13</v>
      </c>
      <c r="C785" t="s">
        <v>26</v>
      </c>
      <c r="D785" s="15">
        <v>768878</v>
      </c>
    </row>
    <row r="786" spans="1:4" x14ac:dyDescent="0.3">
      <c r="A786" t="s">
        <v>100</v>
      </c>
      <c r="B786" s="7">
        <v>13</v>
      </c>
      <c r="C786" t="s">
        <v>27</v>
      </c>
      <c r="D786" s="15">
        <v>991</v>
      </c>
    </row>
    <row r="787" spans="1:4" x14ac:dyDescent="0.3">
      <c r="A787" t="s">
        <v>100</v>
      </c>
      <c r="B787" s="7">
        <v>13</v>
      </c>
      <c r="C787" t="s">
        <v>198</v>
      </c>
      <c r="D787" s="15">
        <v>339897</v>
      </c>
    </row>
    <row r="788" spans="1:4" x14ac:dyDescent="0.3">
      <c r="A788" t="s">
        <v>100</v>
      </c>
      <c r="B788" s="7">
        <v>13</v>
      </c>
      <c r="C788" t="s">
        <v>28</v>
      </c>
      <c r="D788" s="15">
        <v>15611</v>
      </c>
    </row>
    <row r="789" spans="1:4" x14ac:dyDescent="0.3">
      <c r="A789" t="s">
        <v>100</v>
      </c>
      <c r="B789" s="7">
        <v>13</v>
      </c>
      <c r="C789" t="s">
        <v>29</v>
      </c>
    </row>
    <row r="790" spans="1:4" x14ac:dyDescent="0.3">
      <c r="A790" t="s">
        <v>100</v>
      </c>
      <c r="B790" s="7">
        <v>13</v>
      </c>
      <c r="C790" t="s">
        <v>30</v>
      </c>
    </row>
    <row r="791" spans="1:4" x14ac:dyDescent="0.3">
      <c r="A791" t="s">
        <v>100</v>
      </c>
      <c r="B791" s="7">
        <v>13</v>
      </c>
      <c r="C791" t="s">
        <v>53</v>
      </c>
    </row>
    <row r="792" spans="1:4" x14ac:dyDescent="0.3">
      <c r="A792" t="s">
        <v>100</v>
      </c>
      <c r="B792" s="7">
        <v>13</v>
      </c>
      <c r="C792" t="s">
        <v>31</v>
      </c>
      <c r="D792" s="15">
        <v>5393131</v>
      </c>
    </row>
    <row r="793" spans="1:4" x14ac:dyDescent="0.3">
      <c r="A793" t="s">
        <v>100</v>
      </c>
      <c r="B793" s="7">
        <v>13</v>
      </c>
      <c r="C793" t="s">
        <v>54</v>
      </c>
      <c r="D793" s="15">
        <v>1500000</v>
      </c>
    </row>
    <row r="794" spans="1:4" x14ac:dyDescent="0.3">
      <c r="A794" t="s">
        <v>100</v>
      </c>
      <c r="B794" s="7">
        <v>13</v>
      </c>
      <c r="C794" t="s">
        <v>199</v>
      </c>
      <c r="D794" s="15">
        <v>719549</v>
      </c>
    </row>
    <row r="795" spans="1:4" x14ac:dyDescent="0.3">
      <c r="A795" t="s">
        <v>100</v>
      </c>
      <c r="B795" s="7">
        <v>13</v>
      </c>
      <c r="C795" t="s">
        <v>32</v>
      </c>
      <c r="D795" s="15">
        <v>4790</v>
      </c>
    </row>
    <row r="796" spans="1:4" x14ac:dyDescent="0.3">
      <c r="A796" t="s">
        <v>100</v>
      </c>
      <c r="B796" s="7">
        <v>13</v>
      </c>
      <c r="C796" t="s">
        <v>33</v>
      </c>
      <c r="D796" s="15">
        <v>300</v>
      </c>
    </row>
    <row r="797" spans="1:4" x14ac:dyDescent="0.3">
      <c r="A797" t="s">
        <v>100</v>
      </c>
      <c r="B797" s="7">
        <v>13</v>
      </c>
      <c r="C797" t="s">
        <v>23</v>
      </c>
      <c r="D797" s="15">
        <v>2224639</v>
      </c>
    </row>
    <row r="798" spans="1:4" x14ac:dyDescent="0.3">
      <c r="A798" t="s">
        <v>100</v>
      </c>
      <c r="B798" s="7">
        <v>13</v>
      </c>
      <c r="C798" t="s">
        <v>54</v>
      </c>
      <c r="D798" s="15">
        <v>1500000</v>
      </c>
    </row>
    <row r="799" spans="1:4" x14ac:dyDescent="0.3">
      <c r="A799" t="s">
        <v>100</v>
      </c>
      <c r="B799" s="7">
        <v>13</v>
      </c>
      <c r="C799" t="s">
        <v>207</v>
      </c>
      <c r="D799" s="15" t="s">
        <v>56</v>
      </c>
    </row>
    <row r="800" spans="1:4" x14ac:dyDescent="0.3">
      <c r="A800" t="s">
        <v>100</v>
      </c>
      <c r="B800" s="7">
        <v>13</v>
      </c>
      <c r="C800" t="s">
        <v>55</v>
      </c>
    </row>
    <row r="801" spans="1:4" x14ac:dyDescent="0.3">
      <c r="A801" t="s">
        <v>100</v>
      </c>
      <c r="B801" s="7">
        <v>13</v>
      </c>
      <c r="C801" t="s">
        <v>208</v>
      </c>
      <c r="D801" s="15" t="s">
        <v>56</v>
      </c>
    </row>
    <row r="802" spans="1:4" x14ac:dyDescent="0.3">
      <c r="A802" t="s">
        <v>100</v>
      </c>
      <c r="B802" s="7">
        <v>13</v>
      </c>
      <c r="C802" t="s">
        <v>35</v>
      </c>
      <c r="D802" s="15">
        <v>5393131</v>
      </c>
    </row>
    <row r="803" spans="1:4" x14ac:dyDescent="0.3">
      <c r="A803" t="s">
        <v>100</v>
      </c>
      <c r="B803" s="7">
        <v>13</v>
      </c>
      <c r="C803" t="s">
        <v>36</v>
      </c>
      <c r="D803" s="15">
        <v>2224639</v>
      </c>
    </row>
    <row r="804" spans="1:4" x14ac:dyDescent="0.3">
      <c r="A804" t="s">
        <v>100</v>
      </c>
      <c r="B804" s="7">
        <v>13</v>
      </c>
      <c r="C804" t="s">
        <v>37</v>
      </c>
      <c r="D804" s="15">
        <v>7617770</v>
      </c>
    </row>
    <row r="805" spans="1:4" x14ac:dyDescent="0.3">
      <c r="A805" t="s">
        <v>100</v>
      </c>
      <c r="B805" s="7">
        <v>13</v>
      </c>
      <c r="C805" t="s">
        <v>38</v>
      </c>
      <c r="D805" s="20">
        <v>9.1800000000000007E-2</v>
      </c>
    </row>
    <row r="806" spans="1:4" x14ac:dyDescent="0.3">
      <c r="A806" t="s">
        <v>100</v>
      </c>
      <c r="B806" s="7">
        <v>13</v>
      </c>
      <c r="C806" t="s">
        <v>39</v>
      </c>
      <c r="D806" s="20">
        <v>0.12959999999999999</v>
      </c>
    </row>
    <row r="807" spans="1:4" x14ac:dyDescent="0.3">
      <c r="A807" t="s">
        <v>100</v>
      </c>
      <c r="B807" s="7">
        <v>13</v>
      </c>
      <c r="C807" t="s">
        <v>194</v>
      </c>
      <c r="D807" s="15">
        <v>53342911</v>
      </c>
    </row>
    <row r="808" spans="1:4" x14ac:dyDescent="0.3">
      <c r="A808" t="s">
        <v>100</v>
      </c>
      <c r="B808" s="7">
        <v>13</v>
      </c>
      <c r="C808" t="s">
        <v>181</v>
      </c>
      <c r="D808" s="15">
        <v>3212428</v>
      </c>
    </row>
    <row r="809" spans="1:4" x14ac:dyDescent="0.3">
      <c r="A809" t="s">
        <v>100</v>
      </c>
      <c r="B809" s="7">
        <v>13</v>
      </c>
      <c r="C809" t="s">
        <v>182</v>
      </c>
      <c r="D809" s="15">
        <v>57838</v>
      </c>
    </row>
    <row r="810" spans="1:4" x14ac:dyDescent="0.3">
      <c r="A810" t="s">
        <v>100</v>
      </c>
      <c r="B810" s="7">
        <v>13</v>
      </c>
      <c r="C810" t="s">
        <v>209</v>
      </c>
      <c r="D810" s="15" t="s">
        <v>56</v>
      </c>
    </row>
    <row r="811" spans="1:4" x14ac:dyDescent="0.3">
      <c r="A811" t="s">
        <v>100</v>
      </c>
      <c r="B811" s="7">
        <v>13</v>
      </c>
      <c r="C811" t="s">
        <v>210</v>
      </c>
      <c r="D811" s="15">
        <v>455622</v>
      </c>
    </row>
    <row r="812" spans="1:4" x14ac:dyDescent="0.3">
      <c r="A812" t="s">
        <v>100</v>
      </c>
      <c r="B812" s="7">
        <v>13</v>
      </c>
      <c r="C812" t="s">
        <v>211</v>
      </c>
      <c r="D812" s="15">
        <v>1698395</v>
      </c>
    </row>
    <row r="813" spans="1:4" x14ac:dyDescent="0.3">
      <c r="A813" t="s">
        <v>100</v>
      </c>
      <c r="B813" s="7">
        <v>13</v>
      </c>
      <c r="C813" t="s">
        <v>203</v>
      </c>
      <c r="D813" s="15">
        <v>58767194</v>
      </c>
    </row>
    <row r="814" spans="1:4" x14ac:dyDescent="0.3">
      <c r="A814" t="s">
        <v>100</v>
      </c>
      <c r="B814" s="7">
        <v>13</v>
      </c>
      <c r="C814" t="s">
        <v>184</v>
      </c>
      <c r="D814" s="15" t="s">
        <v>56</v>
      </c>
    </row>
    <row r="815" spans="1:4" x14ac:dyDescent="0.3">
      <c r="A815" t="s">
        <v>100</v>
      </c>
      <c r="B815" s="7">
        <v>13</v>
      </c>
      <c r="C815" t="s">
        <v>185</v>
      </c>
      <c r="D815" s="15" t="s">
        <v>56</v>
      </c>
    </row>
    <row r="816" spans="1:4" x14ac:dyDescent="0.3">
      <c r="A816" t="s">
        <v>100</v>
      </c>
      <c r="B816" s="7">
        <v>13</v>
      </c>
      <c r="C816" t="s">
        <v>186</v>
      </c>
      <c r="D816" s="15">
        <v>1697112</v>
      </c>
    </row>
    <row r="817" spans="1:4" x14ac:dyDescent="0.3">
      <c r="A817" t="s">
        <v>100</v>
      </c>
      <c r="B817" s="7">
        <v>13</v>
      </c>
      <c r="C817" t="s">
        <v>187</v>
      </c>
      <c r="D817" s="15">
        <v>9250311</v>
      </c>
    </row>
    <row r="818" spans="1:4" x14ac:dyDescent="0.3">
      <c r="A818" t="s">
        <v>100</v>
      </c>
      <c r="B818" s="7">
        <v>13</v>
      </c>
      <c r="C818" t="s">
        <v>188</v>
      </c>
      <c r="D818" s="15">
        <v>12971547</v>
      </c>
    </row>
    <row r="819" spans="1:4" x14ac:dyDescent="0.3">
      <c r="A819" t="s">
        <v>100</v>
      </c>
      <c r="B819" s="7">
        <v>13</v>
      </c>
      <c r="C819" t="s">
        <v>189</v>
      </c>
      <c r="D819" s="15">
        <v>3028526</v>
      </c>
    </row>
    <row r="820" spans="1:4" x14ac:dyDescent="0.3">
      <c r="A820" t="s">
        <v>100</v>
      </c>
      <c r="B820" s="7">
        <v>13</v>
      </c>
      <c r="C820" t="s">
        <v>190</v>
      </c>
      <c r="D820" s="15">
        <v>152153</v>
      </c>
    </row>
    <row r="821" spans="1:4" x14ac:dyDescent="0.3">
      <c r="A821" t="s">
        <v>100</v>
      </c>
      <c r="B821" s="7">
        <v>13</v>
      </c>
      <c r="C821" t="s">
        <v>191</v>
      </c>
      <c r="D821" s="15">
        <v>8479686</v>
      </c>
    </row>
    <row r="822" spans="1:4" x14ac:dyDescent="0.3">
      <c r="A822" t="s">
        <v>100</v>
      </c>
      <c r="B822" s="7">
        <v>13</v>
      </c>
      <c r="C822" t="s">
        <v>192</v>
      </c>
      <c r="D822" s="15">
        <v>13880874</v>
      </c>
    </row>
    <row r="823" spans="1:4" x14ac:dyDescent="0.3">
      <c r="A823" t="s">
        <v>100</v>
      </c>
      <c r="B823" s="7">
        <v>13</v>
      </c>
      <c r="C823" t="s">
        <v>40</v>
      </c>
      <c r="D823" s="15">
        <v>239688</v>
      </c>
    </row>
    <row r="824" spans="1:4" x14ac:dyDescent="0.3">
      <c r="A824" t="s">
        <v>100</v>
      </c>
      <c r="B824" s="7">
        <v>13</v>
      </c>
      <c r="C824" t="s">
        <v>41</v>
      </c>
      <c r="D824" s="15">
        <v>3154962</v>
      </c>
    </row>
    <row r="825" spans="1:4" x14ac:dyDescent="0.3">
      <c r="A825" t="s">
        <v>100</v>
      </c>
      <c r="B825" s="7">
        <v>13</v>
      </c>
      <c r="C825" t="s">
        <v>193</v>
      </c>
      <c r="D825" s="15">
        <v>488051</v>
      </c>
    </row>
    <row r="826" spans="1:4" x14ac:dyDescent="0.3">
      <c r="A826" t="s">
        <v>100</v>
      </c>
      <c r="B826" s="7">
        <v>13</v>
      </c>
      <c r="C826" t="s">
        <v>194</v>
      </c>
      <c r="D826" s="15">
        <v>53342911</v>
      </c>
    </row>
    <row r="827" spans="1:4" x14ac:dyDescent="0.3">
      <c r="A827" t="s">
        <v>100</v>
      </c>
      <c r="B827" s="7">
        <v>13</v>
      </c>
      <c r="C827" t="s">
        <v>181</v>
      </c>
      <c r="D827" s="15">
        <v>3212428</v>
      </c>
    </row>
    <row r="828" spans="1:4" x14ac:dyDescent="0.3">
      <c r="A828" t="s">
        <v>100</v>
      </c>
      <c r="B828" s="7">
        <v>13</v>
      </c>
      <c r="C828" t="s">
        <v>182</v>
      </c>
      <c r="D828" s="15">
        <v>57838</v>
      </c>
    </row>
    <row r="829" spans="1:4" x14ac:dyDescent="0.3">
      <c r="A829" t="s">
        <v>100</v>
      </c>
      <c r="B829" s="7">
        <v>13</v>
      </c>
      <c r="C829" t="s">
        <v>209</v>
      </c>
      <c r="D829" s="15" t="s">
        <v>56</v>
      </c>
    </row>
    <row r="830" spans="1:4" x14ac:dyDescent="0.3">
      <c r="A830" t="s">
        <v>100</v>
      </c>
      <c r="B830" s="7">
        <v>13</v>
      </c>
      <c r="C830" t="s">
        <v>210</v>
      </c>
      <c r="D830" s="15">
        <v>455622</v>
      </c>
    </row>
    <row r="831" spans="1:4" x14ac:dyDescent="0.3">
      <c r="A831" t="s">
        <v>100</v>
      </c>
      <c r="B831" s="7">
        <v>13</v>
      </c>
      <c r="C831" t="s">
        <v>211</v>
      </c>
      <c r="D831" s="15">
        <v>1698395</v>
      </c>
    </row>
    <row r="832" spans="1:4" x14ac:dyDescent="0.3">
      <c r="A832" t="s">
        <v>100</v>
      </c>
      <c r="B832" s="7">
        <v>13</v>
      </c>
      <c r="C832" t="s">
        <v>203</v>
      </c>
      <c r="D832" s="15">
        <v>58767194</v>
      </c>
    </row>
    <row r="833" spans="1:6" x14ac:dyDescent="0.3">
      <c r="A833" t="s">
        <v>100</v>
      </c>
      <c r="B833" s="7">
        <v>13</v>
      </c>
      <c r="C833" t="s">
        <v>21</v>
      </c>
      <c r="D833" s="15">
        <v>7617770</v>
      </c>
    </row>
    <row r="834" spans="1:6" x14ac:dyDescent="0.3">
      <c r="A834" t="s">
        <v>100</v>
      </c>
      <c r="B834" s="7">
        <v>13</v>
      </c>
      <c r="C834" t="s">
        <v>22</v>
      </c>
      <c r="D834" s="20">
        <v>0.12959999999999999</v>
      </c>
    </row>
    <row r="835" spans="1:6" x14ac:dyDescent="0.3">
      <c r="A835" s="10" t="s">
        <v>100</v>
      </c>
      <c r="B835" s="7">
        <v>13</v>
      </c>
      <c r="C835" s="10" t="s">
        <v>20</v>
      </c>
      <c r="D835" s="21" t="s">
        <v>57</v>
      </c>
      <c r="E835" s="6" t="s">
        <v>64</v>
      </c>
      <c r="F835" s="6" t="s">
        <v>58</v>
      </c>
    </row>
    <row r="836" spans="1:6" x14ac:dyDescent="0.3">
      <c r="A836" t="s">
        <v>100</v>
      </c>
      <c r="B836" s="7">
        <v>13</v>
      </c>
      <c r="C836" t="s">
        <v>42</v>
      </c>
      <c r="D836" s="15" t="s">
        <v>56</v>
      </c>
      <c r="E836" s="3" t="s">
        <v>56</v>
      </c>
      <c r="F836" s="3" t="s">
        <v>56</v>
      </c>
    </row>
    <row r="837" spans="1:6" x14ac:dyDescent="0.3">
      <c r="A837" t="s">
        <v>100</v>
      </c>
      <c r="B837" s="7">
        <v>13</v>
      </c>
      <c r="C837" t="s">
        <v>43</v>
      </c>
      <c r="D837" s="15">
        <v>760838</v>
      </c>
      <c r="E837" s="3">
        <v>184783</v>
      </c>
      <c r="F837" s="3">
        <v>576055</v>
      </c>
    </row>
    <row r="838" spans="1:6" x14ac:dyDescent="0.3">
      <c r="A838" t="s">
        <v>100</v>
      </c>
      <c r="B838" s="7">
        <v>13</v>
      </c>
      <c r="C838" t="s">
        <v>44</v>
      </c>
      <c r="D838" s="15">
        <v>255139</v>
      </c>
      <c r="E838" s="3">
        <v>125818</v>
      </c>
      <c r="F838" s="3">
        <v>129320</v>
      </c>
    </row>
    <row r="839" spans="1:6" x14ac:dyDescent="0.3">
      <c r="A839" t="s">
        <v>100</v>
      </c>
      <c r="B839" s="7">
        <v>13</v>
      </c>
      <c r="C839" t="s">
        <v>45</v>
      </c>
      <c r="D839" s="15">
        <v>283752</v>
      </c>
      <c r="E839" s="3">
        <v>283389</v>
      </c>
      <c r="F839" s="3">
        <v>364</v>
      </c>
    </row>
    <row r="840" spans="1:6" x14ac:dyDescent="0.3">
      <c r="A840" t="s">
        <v>100</v>
      </c>
      <c r="B840" s="7">
        <v>13</v>
      </c>
      <c r="C840" t="s">
        <v>195</v>
      </c>
      <c r="D840" s="20">
        <v>2.5000000000000001E-2</v>
      </c>
    </row>
    <row r="841" spans="1:6" x14ac:dyDescent="0.3">
      <c r="A841" t="s">
        <v>100</v>
      </c>
      <c r="B841" s="7">
        <v>13</v>
      </c>
      <c r="C841" t="s">
        <v>196</v>
      </c>
      <c r="D841" s="20">
        <v>1.3899999999999999E-2</v>
      </c>
    </row>
    <row r="842" spans="1:6" ht="43.2" x14ac:dyDescent="0.3">
      <c r="A842" s="10" t="s">
        <v>100</v>
      </c>
      <c r="B842" s="7">
        <v>13</v>
      </c>
      <c r="C842" s="10" t="s">
        <v>20</v>
      </c>
      <c r="D842" s="22" t="s">
        <v>126</v>
      </c>
      <c r="E842" s="5" t="s">
        <v>72</v>
      </c>
      <c r="F842" s="6" t="s">
        <v>59</v>
      </c>
    </row>
    <row r="843" spans="1:6" x14ac:dyDescent="0.3">
      <c r="A843" t="s">
        <v>100</v>
      </c>
      <c r="B843" s="7">
        <v>13</v>
      </c>
      <c r="C843" t="s">
        <v>42</v>
      </c>
      <c r="D843" s="15" t="s">
        <v>56</v>
      </c>
      <c r="E843" s="3" t="s">
        <v>56</v>
      </c>
      <c r="F843" s="3" t="s">
        <v>56</v>
      </c>
    </row>
    <row r="844" spans="1:6" x14ac:dyDescent="0.3">
      <c r="A844" t="s">
        <v>100</v>
      </c>
      <c r="B844" s="7">
        <v>13</v>
      </c>
      <c r="C844" t="s">
        <v>43</v>
      </c>
      <c r="D844" s="15">
        <v>760838</v>
      </c>
      <c r="E844" s="3">
        <v>350212</v>
      </c>
      <c r="F844" s="3">
        <v>410626</v>
      </c>
    </row>
    <row r="845" spans="1:6" x14ac:dyDescent="0.3">
      <c r="A845" t="s">
        <v>100</v>
      </c>
      <c r="B845" s="7">
        <v>13</v>
      </c>
      <c r="C845" t="s">
        <v>44</v>
      </c>
      <c r="D845" s="15">
        <v>255139</v>
      </c>
      <c r="E845" s="3">
        <v>164060</v>
      </c>
      <c r="F845" s="3">
        <v>91078</v>
      </c>
    </row>
    <row r="846" spans="1:6" x14ac:dyDescent="0.3">
      <c r="A846" t="s">
        <v>100</v>
      </c>
      <c r="B846" s="7">
        <v>13</v>
      </c>
      <c r="C846" t="s">
        <v>45</v>
      </c>
      <c r="D846" s="15">
        <v>283752</v>
      </c>
      <c r="E846" s="3">
        <v>214163</v>
      </c>
      <c r="F846" s="3">
        <v>69589</v>
      </c>
    </row>
    <row r="847" spans="1:6" x14ac:dyDescent="0.3">
      <c r="A847" t="s">
        <v>100</v>
      </c>
      <c r="B847" s="7">
        <v>13</v>
      </c>
      <c r="C847" t="s">
        <v>200</v>
      </c>
      <c r="D847" s="15" t="s">
        <v>56</v>
      </c>
    </row>
    <row r="848" spans="1:6" x14ac:dyDescent="0.3">
      <c r="A848" t="s">
        <v>100</v>
      </c>
      <c r="B848" s="7">
        <v>13</v>
      </c>
      <c r="C848" t="s">
        <v>201</v>
      </c>
      <c r="D848" s="15" t="s">
        <v>56</v>
      </c>
    </row>
    <row r="849" spans="1:7" ht="57.6" x14ac:dyDescent="0.3">
      <c r="A849" s="10" t="s">
        <v>100</v>
      </c>
      <c r="B849" s="7">
        <v>13</v>
      </c>
      <c r="C849" s="10" t="s">
        <v>46</v>
      </c>
      <c r="D849" s="22" t="s">
        <v>126</v>
      </c>
      <c r="E849" s="5" t="s">
        <v>73</v>
      </c>
      <c r="F849" s="6" t="s">
        <v>59</v>
      </c>
      <c r="G849" s="8" t="s">
        <v>61</v>
      </c>
    </row>
    <row r="850" spans="1:7" x14ac:dyDescent="0.3">
      <c r="A850" t="s">
        <v>100</v>
      </c>
      <c r="B850" s="7">
        <v>13</v>
      </c>
      <c r="C850" t="s">
        <v>47</v>
      </c>
      <c r="D850" s="15">
        <v>1313539</v>
      </c>
      <c r="E850" s="3">
        <v>1097479</v>
      </c>
      <c r="F850" s="3">
        <v>216060</v>
      </c>
      <c r="G850" s="4">
        <v>0.19689999999999999</v>
      </c>
    </row>
    <row r="851" spans="1:7" x14ac:dyDescent="0.3">
      <c r="A851" t="s">
        <v>100</v>
      </c>
      <c r="B851" s="7">
        <v>13</v>
      </c>
      <c r="C851" t="s">
        <v>48</v>
      </c>
      <c r="D851" s="15">
        <v>740137</v>
      </c>
      <c r="E851" s="3">
        <v>351789</v>
      </c>
      <c r="F851" s="3">
        <v>388348</v>
      </c>
      <c r="G851" s="4">
        <v>1.1039000000000001</v>
      </c>
    </row>
    <row r="852" spans="1:7" x14ac:dyDescent="0.3">
      <c r="A852" t="s">
        <v>107</v>
      </c>
      <c r="B852" s="7">
        <v>14</v>
      </c>
      <c r="C852" t="s">
        <v>197</v>
      </c>
      <c r="D852" s="15">
        <v>4267753</v>
      </c>
    </row>
    <row r="853" spans="1:7" x14ac:dyDescent="0.3">
      <c r="A853" t="s">
        <v>107</v>
      </c>
      <c r="B853" s="7">
        <v>14</v>
      </c>
      <c r="C853" t="s">
        <v>213</v>
      </c>
      <c r="D853" s="15" t="s">
        <v>56</v>
      </c>
    </row>
    <row r="854" spans="1:7" x14ac:dyDescent="0.3">
      <c r="A854" t="s">
        <v>107</v>
      </c>
      <c r="B854" s="7">
        <v>14</v>
      </c>
      <c r="C854" t="s">
        <v>24</v>
      </c>
      <c r="D854" s="15" t="s">
        <v>56</v>
      </c>
    </row>
    <row r="855" spans="1:7" x14ac:dyDescent="0.3">
      <c r="A855" t="s">
        <v>107</v>
      </c>
      <c r="B855" s="7">
        <v>14</v>
      </c>
      <c r="C855" t="s">
        <v>25</v>
      </c>
      <c r="D855" s="15" t="s">
        <v>56</v>
      </c>
    </row>
    <row r="856" spans="1:7" x14ac:dyDescent="0.3">
      <c r="A856" t="s">
        <v>107</v>
      </c>
      <c r="B856" s="7">
        <v>14</v>
      </c>
      <c r="C856" t="s">
        <v>26</v>
      </c>
      <c r="D856" s="15">
        <v>755811</v>
      </c>
    </row>
    <row r="857" spans="1:7" x14ac:dyDescent="0.3">
      <c r="A857" t="s">
        <v>107</v>
      </c>
      <c r="B857" s="7">
        <v>14</v>
      </c>
      <c r="C857" t="s">
        <v>27</v>
      </c>
      <c r="D857" s="15">
        <v>991</v>
      </c>
    </row>
    <row r="858" spans="1:7" x14ac:dyDescent="0.3">
      <c r="A858" t="s">
        <v>107</v>
      </c>
      <c r="B858" s="7">
        <v>14</v>
      </c>
      <c r="C858" t="s">
        <v>198</v>
      </c>
      <c r="D858" s="15">
        <v>231227</v>
      </c>
    </row>
    <row r="859" spans="1:7" x14ac:dyDescent="0.3">
      <c r="A859" t="s">
        <v>107</v>
      </c>
      <c r="B859" s="7">
        <v>14</v>
      </c>
      <c r="C859" t="s">
        <v>28</v>
      </c>
      <c r="D859" s="15" t="s">
        <v>56</v>
      </c>
    </row>
    <row r="860" spans="1:7" x14ac:dyDescent="0.3">
      <c r="A860" t="s">
        <v>107</v>
      </c>
      <c r="B860" s="7">
        <v>14</v>
      </c>
      <c r="C860" t="s">
        <v>29</v>
      </c>
      <c r="D860" s="15" t="s">
        <v>56</v>
      </c>
    </row>
    <row r="861" spans="1:7" x14ac:dyDescent="0.3">
      <c r="A861" t="s">
        <v>107</v>
      </c>
      <c r="B861" s="7">
        <v>14</v>
      </c>
      <c r="C861" t="s">
        <v>30</v>
      </c>
      <c r="D861" s="15" t="s">
        <v>56</v>
      </c>
    </row>
    <row r="862" spans="1:7" x14ac:dyDescent="0.3">
      <c r="A862" t="s">
        <v>107</v>
      </c>
      <c r="B862" s="7">
        <v>14</v>
      </c>
      <c r="C862" t="s">
        <v>53</v>
      </c>
      <c r="D862" s="15">
        <v>-153000</v>
      </c>
    </row>
    <row r="863" spans="1:7" x14ac:dyDescent="0.3">
      <c r="A863" t="s">
        <v>107</v>
      </c>
      <c r="B863" s="7">
        <v>14</v>
      </c>
      <c r="C863" t="s">
        <v>31</v>
      </c>
      <c r="D863" s="15">
        <v>5102782</v>
      </c>
    </row>
    <row r="864" spans="1:7" x14ac:dyDescent="0.3">
      <c r="A864" t="s">
        <v>107</v>
      </c>
      <c r="B864" s="7">
        <v>14</v>
      </c>
      <c r="C864" t="s">
        <v>54</v>
      </c>
      <c r="D864" s="15">
        <v>1500000</v>
      </c>
    </row>
    <row r="865" spans="1:4" x14ac:dyDescent="0.3">
      <c r="A865" t="s">
        <v>107</v>
      </c>
      <c r="B865" s="7">
        <v>14</v>
      </c>
      <c r="C865" t="s">
        <v>199</v>
      </c>
      <c r="D865" s="15">
        <v>851629</v>
      </c>
    </row>
    <row r="866" spans="1:4" x14ac:dyDescent="0.3">
      <c r="A866" t="s">
        <v>107</v>
      </c>
      <c r="B866" s="7">
        <v>14</v>
      </c>
      <c r="C866" t="s">
        <v>32</v>
      </c>
      <c r="D866" s="15">
        <v>4790</v>
      </c>
    </row>
    <row r="867" spans="1:4" x14ac:dyDescent="0.3">
      <c r="A867" t="s">
        <v>107</v>
      </c>
      <c r="B867" s="7">
        <v>14</v>
      </c>
      <c r="C867" t="s">
        <v>33</v>
      </c>
      <c r="D867" s="15">
        <v>300</v>
      </c>
    </row>
    <row r="868" spans="1:4" x14ac:dyDescent="0.3">
      <c r="A868" t="s">
        <v>107</v>
      </c>
      <c r="B868" s="7">
        <v>14</v>
      </c>
      <c r="C868" t="s">
        <v>23</v>
      </c>
      <c r="D868" s="15">
        <v>2356719</v>
      </c>
    </row>
    <row r="869" spans="1:4" x14ac:dyDescent="0.3">
      <c r="A869" t="s">
        <v>107</v>
      </c>
      <c r="B869" s="7">
        <v>14</v>
      </c>
      <c r="C869" t="s">
        <v>54</v>
      </c>
      <c r="D869" s="15">
        <v>1500000</v>
      </c>
    </row>
    <row r="870" spans="1:4" x14ac:dyDescent="0.3">
      <c r="A870" t="s">
        <v>107</v>
      </c>
      <c r="B870" s="7">
        <v>14</v>
      </c>
      <c r="C870" t="s">
        <v>207</v>
      </c>
      <c r="D870" s="15">
        <v>-153000</v>
      </c>
    </row>
    <row r="871" spans="1:4" x14ac:dyDescent="0.3">
      <c r="A871" t="s">
        <v>107</v>
      </c>
      <c r="B871" s="7">
        <v>14</v>
      </c>
      <c r="C871" t="s">
        <v>55</v>
      </c>
      <c r="D871" s="15" t="s">
        <v>56</v>
      </c>
    </row>
    <row r="872" spans="1:4" x14ac:dyDescent="0.3">
      <c r="A872" t="s">
        <v>107</v>
      </c>
      <c r="B872" s="7">
        <v>14</v>
      </c>
      <c r="C872" t="s">
        <v>35</v>
      </c>
      <c r="D872" s="15">
        <v>5102782</v>
      </c>
    </row>
    <row r="873" spans="1:4" x14ac:dyDescent="0.3">
      <c r="A873" t="s">
        <v>107</v>
      </c>
      <c r="B873" s="7">
        <v>14</v>
      </c>
      <c r="C873" t="s">
        <v>36</v>
      </c>
      <c r="D873" s="15">
        <v>2356719</v>
      </c>
    </row>
    <row r="874" spans="1:4" x14ac:dyDescent="0.3">
      <c r="A874" t="s">
        <v>107</v>
      </c>
      <c r="B874" s="7">
        <v>14</v>
      </c>
      <c r="C874" t="s">
        <v>37</v>
      </c>
      <c r="D874" s="15">
        <v>7459501</v>
      </c>
    </row>
    <row r="875" spans="1:4" x14ac:dyDescent="0.3">
      <c r="A875" t="s">
        <v>107</v>
      </c>
      <c r="B875" s="7">
        <v>14</v>
      </c>
      <c r="C875" t="s">
        <v>38</v>
      </c>
      <c r="D875" s="20">
        <v>8.7300000000000003E-2</v>
      </c>
    </row>
    <row r="876" spans="1:4" x14ac:dyDescent="0.3">
      <c r="A876" t="s">
        <v>107</v>
      </c>
      <c r="B876" s="7">
        <v>14</v>
      </c>
      <c r="C876" t="s">
        <v>39</v>
      </c>
      <c r="D876" s="20">
        <v>0.12770000000000001</v>
      </c>
    </row>
    <row r="877" spans="1:4" x14ac:dyDescent="0.3">
      <c r="A877" t="s">
        <v>107</v>
      </c>
      <c r="B877" s="7">
        <v>14</v>
      </c>
      <c r="C877" t="s">
        <v>194</v>
      </c>
      <c r="D877" s="15">
        <v>53006956</v>
      </c>
    </row>
    <row r="878" spans="1:4" x14ac:dyDescent="0.3">
      <c r="A878" t="s">
        <v>107</v>
      </c>
      <c r="B878" s="7">
        <v>14</v>
      </c>
      <c r="C878" t="s">
        <v>181</v>
      </c>
      <c r="D878" s="15">
        <v>3212428</v>
      </c>
    </row>
    <row r="879" spans="1:4" x14ac:dyDescent="0.3">
      <c r="A879" t="s">
        <v>107</v>
      </c>
      <c r="B879" s="7">
        <v>14</v>
      </c>
      <c r="C879" t="s">
        <v>182</v>
      </c>
      <c r="D879" s="15">
        <v>69866</v>
      </c>
    </row>
    <row r="880" spans="1:4" x14ac:dyDescent="0.3">
      <c r="A880" t="s">
        <v>107</v>
      </c>
      <c r="B880" s="7">
        <v>14</v>
      </c>
      <c r="C880" t="s">
        <v>209</v>
      </c>
      <c r="D880" s="15" t="s">
        <v>56</v>
      </c>
    </row>
    <row r="881" spans="1:4" x14ac:dyDescent="0.3">
      <c r="A881" t="s">
        <v>107</v>
      </c>
      <c r="B881" s="7">
        <v>14</v>
      </c>
      <c r="C881" t="s">
        <v>210</v>
      </c>
      <c r="D881" s="15">
        <v>455622</v>
      </c>
    </row>
    <row r="882" spans="1:4" x14ac:dyDescent="0.3">
      <c r="A882" t="s">
        <v>107</v>
      </c>
      <c r="B882" s="7">
        <v>14</v>
      </c>
      <c r="C882" t="s">
        <v>211</v>
      </c>
      <c r="D882" s="15">
        <v>1688678</v>
      </c>
    </row>
    <row r="883" spans="1:4" x14ac:dyDescent="0.3">
      <c r="A883" t="s">
        <v>107</v>
      </c>
      <c r="B883" s="7">
        <v>14</v>
      </c>
      <c r="C883" t="s">
        <v>203</v>
      </c>
      <c r="D883" s="15">
        <v>58433550</v>
      </c>
    </row>
    <row r="884" spans="1:4" x14ac:dyDescent="0.3">
      <c r="A884" t="s">
        <v>107</v>
      </c>
      <c r="B884" s="7">
        <v>14</v>
      </c>
      <c r="C884" t="s">
        <v>184</v>
      </c>
      <c r="D884" s="15" t="s">
        <v>56</v>
      </c>
    </row>
    <row r="885" spans="1:4" x14ac:dyDescent="0.3">
      <c r="A885" t="s">
        <v>107</v>
      </c>
      <c r="B885" s="7">
        <v>14</v>
      </c>
      <c r="C885" t="s">
        <v>185</v>
      </c>
      <c r="D885" s="15" t="s">
        <v>56</v>
      </c>
    </row>
    <row r="886" spans="1:4" x14ac:dyDescent="0.3">
      <c r="A886" t="s">
        <v>107</v>
      </c>
      <c r="B886" s="7">
        <v>14</v>
      </c>
      <c r="C886" t="s">
        <v>186</v>
      </c>
      <c r="D886" s="15">
        <v>1584684</v>
      </c>
    </row>
    <row r="887" spans="1:4" x14ac:dyDescent="0.3">
      <c r="A887" t="s">
        <v>107</v>
      </c>
      <c r="B887" s="7">
        <v>14</v>
      </c>
      <c r="C887" t="s">
        <v>187</v>
      </c>
      <c r="D887" s="15">
        <v>8961226</v>
      </c>
    </row>
    <row r="888" spans="1:4" x14ac:dyDescent="0.3">
      <c r="A888" t="s">
        <v>107</v>
      </c>
      <c r="B888" s="7">
        <v>14</v>
      </c>
      <c r="C888" t="s">
        <v>188</v>
      </c>
      <c r="D888" s="15">
        <v>13400705</v>
      </c>
    </row>
    <row r="889" spans="1:4" x14ac:dyDescent="0.3">
      <c r="A889" t="s">
        <v>107</v>
      </c>
      <c r="B889" s="7">
        <v>14</v>
      </c>
      <c r="C889" t="s">
        <v>189</v>
      </c>
      <c r="D889" s="15">
        <v>3128798</v>
      </c>
    </row>
    <row r="890" spans="1:4" x14ac:dyDescent="0.3">
      <c r="A890" t="s">
        <v>107</v>
      </c>
      <c r="B890" s="7">
        <v>14</v>
      </c>
      <c r="C890" t="s">
        <v>190</v>
      </c>
      <c r="D890" s="15">
        <v>154130</v>
      </c>
    </row>
    <row r="891" spans="1:4" x14ac:dyDescent="0.3">
      <c r="A891" t="s">
        <v>107</v>
      </c>
      <c r="B891" s="7">
        <v>14</v>
      </c>
      <c r="C891" t="s">
        <v>191</v>
      </c>
      <c r="D891" s="15">
        <v>8519864</v>
      </c>
    </row>
    <row r="892" spans="1:4" x14ac:dyDescent="0.3">
      <c r="A892" t="s">
        <v>107</v>
      </c>
      <c r="B892" s="7">
        <v>14</v>
      </c>
      <c r="C892" t="s">
        <v>192</v>
      </c>
      <c r="D892" s="15">
        <v>13209548</v>
      </c>
    </row>
    <row r="893" spans="1:4" x14ac:dyDescent="0.3">
      <c r="A893" t="s">
        <v>107</v>
      </c>
      <c r="B893" s="7">
        <v>14</v>
      </c>
      <c r="C893" t="s">
        <v>40</v>
      </c>
      <c r="D893" s="15">
        <v>240775</v>
      </c>
    </row>
    <row r="894" spans="1:4" x14ac:dyDescent="0.3">
      <c r="A894" t="s">
        <v>107</v>
      </c>
      <c r="B894" s="7">
        <v>14</v>
      </c>
      <c r="C894" t="s">
        <v>41</v>
      </c>
      <c r="D894" s="15">
        <v>3360288</v>
      </c>
    </row>
    <row r="895" spans="1:4" x14ac:dyDescent="0.3">
      <c r="A895" t="s">
        <v>107</v>
      </c>
      <c r="B895" s="7">
        <v>14</v>
      </c>
      <c r="C895" t="s">
        <v>193</v>
      </c>
      <c r="D895" s="15">
        <v>446937</v>
      </c>
    </row>
    <row r="896" spans="1:4" x14ac:dyDescent="0.3">
      <c r="A896" t="s">
        <v>107</v>
      </c>
      <c r="B896" s="7">
        <v>14</v>
      </c>
      <c r="C896" t="s">
        <v>194</v>
      </c>
      <c r="D896" s="15">
        <v>53006956</v>
      </c>
    </row>
    <row r="897" spans="1:6" x14ac:dyDescent="0.3">
      <c r="A897" t="s">
        <v>107</v>
      </c>
      <c r="B897" s="7">
        <v>14</v>
      </c>
      <c r="C897" t="s">
        <v>181</v>
      </c>
      <c r="D897" s="15">
        <v>3212428</v>
      </c>
    </row>
    <row r="898" spans="1:6" x14ac:dyDescent="0.3">
      <c r="A898" t="s">
        <v>107</v>
      </c>
      <c r="B898" s="7">
        <v>14</v>
      </c>
      <c r="C898" t="s">
        <v>182</v>
      </c>
      <c r="D898" s="15">
        <v>69866</v>
      </c>
    </row>
    <row r="899" spans="1:6" x14ac:dyDescent="0.3">
      <c r="A899" t="s">
        <v>107</v>
      </c>
      <c r="B899" s="7">
        <v>14</v>
      </c>
      <c r="C899" t="s">
        <v>209</v>
      </c>
      <c r="D899" s="15" t="s">
        <v>56</v>
      </c>
    </row>
    <row r="900" spans="1:6" x14ac:dyDescent="0.3">
      <c r="A900" t="s">
        <v>107</v>
      </c>
      <c r="B900" s="7">
        <v>14</v>
      </c>
      <c r="C900" t="s">
        <v>210</v>
      </c>
      <c r="D900" s="15">
        <v>455622</v>
      </c>
    </row>
    <row r="901" spans="1:6" x14ac:dyDescent="0.3">
      <c r="A901" t="s">
        <v>107</v>
      </c>
      <c r="B901" s="7">
        <v>14</v>
      </c>
      <c r="C901" t="s">
        <v>211</v>
      </c>
      <c r="D901" s="15">
        <v>1688678</v>
      </c>
    </row>
    <row r="902" spans="1:6" x14ac:dyDescent="0.3">
      <c r="A902" t="s">
        <v>107</v>
      </c>
      <c r="B902" s="7">
        <v>14</v>
      </c>
      <c r="C902" t="s">
        <v>203</v>
      </c>
      <c r="D902" s="15">
        <v>58433550</v>
      </c>
    </row>
    <row r="903" spans="1:6" x14ac:dyDescent="0.3">
      <c r="A903" t="s">
        <v>107</v>
      </c>
      <c r="B903" s="7">
        <v>14</v>
      </c>
      <c r="C903" t="s">
        <v>21</v>
      </c>
      <c r="D903" s="15">
        <v>7459501.2800000003</v>
      </c>
    </row>
    <row r="904" spans="1:6" x14ac:dyDescent="0.3">
      <c r="A904" t="s">
        <v>107</v>
      </c>
      <c r="B904" s="7">
        <v>14</v>
      </c>
      <c r="C904" t="s">
        <v>22</v>
      </c>
      <c r="D904" s="20">
        <v>0.12770000000000001</v>
      </c>
    </row>
    <row r="905" spans="1:6" x14ac:dyDescent="0.3">
      <c r="A905" s="10" t="s">
        <v>107</v>
      </c>
      <c r="B905" s="7">
        <v>14</v>
      </c>
      <c r="C905" s="10" t="s">
        <v>20</v>
      </c>
      <c r="D905" s="21" t="s">
        <v>57</v>
      </c>
      <c r="E905" s="6" t="s">
        <v>64</v>
      </c>
      <c r="F905" s="6" t="s">
        <v>58</v>
      </c>
    </row>
    <row r="906" spans="1:6" x14ac:dyDescent="0.3">
      <c r="A906" t="s">
        <v>107</v>
      </c>
      <c r="B906" s="7">
        <v>14</v>
      </c>
      <c r="C906" t="s">
        <v>42</v>
      </c>
      <c r="D906" s="15" t="s">
        <v>56</v>
      </c>
      <c r="E906" s="3" t="s">
        <v>56</v>
      </c>
      <c r="F906" s="3" t="s">
        <v>56</v>
      </c>
    </row>
    <row r="907" spans="1:6" x14ac:dyDescent="0.3">
      <c r="A907" t="s">
        <v>107</v>
      </c>
      <c r="B907" s="7">
        <v>14</v>
      </c>
      <c r="C907" t="s">
        <v>43</v>
      </c>
      <c r="D907" s="15">
        <v>672024</v>
      </c>
      <c r="E907" s="3">
        <v>165247</v>
      </c>
      <c r="F907" s="3">
        <v>506777</v>
      </c>
    </row>
    <row r="908" spans="1:6" x14ac:dyDescent="0.3">
      <c r="A908" t="s">
        <v>107</v>
      </c>
      <c r="B908" s="7">
        <v>14</v>
      </c>
      <c r="C908" t="s">
        <v>44</v>
      </c>
      <c r="D908" s="15">
        <v>847284</v>
      </c>
      <c r="E908" s="3">
        <v>417536</v>
      </c>
      <c r="F908" s="3">
        <v>429748</v>
      </c>
    </row>
    <row r="909" spans="1:6" x14ac:dyDescent="0.3">
      <c r="A909" t="s">
        <v>107</v>
      </c>
      <c r="B909" s="7">
        <v>14</v>
      </c>
      <c r="C909" t="s">
        <v>45</v>
      </c>
      <c r="D909" s="15">
        <v>329248</v>
      </c>
      <c r="E909" s="3">
        <v>323884</v>
      </c>
      <c r="F909" s="3">
        <v>5364</v>
      </c>
    </row>
    <row r="910" spans="1:6" x14ac:dyDescent="0.3">
      <c r="A910" t="s">
        <v>107</v>
      </c>
      <c r="B910" s="7">
        <v>14</v>
      </c>
      <c r="C910" t="s">
        <v>195</v>
      </c>
      <c r="D910" s="20">
        <v>3.5299999999999998E-2</v>
      </c>
    </row>
    <row r="911" spans="1:6" x14ac:dyDescent="0.3">
      <c r="A911" t="s">
        <v>107</v>
      </c>
      <c r="B911" s="7">
        <v>14</v>
      </c>
      <c r="C911" t="s">
        <v>196</v>
      </c>
      <c r="D911" s="20">
        <v>1.8599999999999998E-2</v>
      </c>
    </row>
    <row r="912" spans="1:6" ht="57.6" x14ac:dyDescent="0.3">
      <c r="A912" s="10" t="s">
        <v>107</v>
      </c>
      <c r="B912" s="7">
        <v>14</v>
      </c>
      <c r="C912" s="10" t="s">
        <v>20</v>
      </c>
      <c r="D912" s="22" t="s">
        <v>128</v>
      </c>
      <c r="E912" s="5" t="s">
        <v>76</v>
      </c>
      <c r="F912" s="6" t="s">
        <v>59</v>
      </c>
    </row>
    <row r="913" spans="1:7" x14ac:dyDescent="0.3">
      <c r="A913" t="s">
        <v>107</v>
      </c>
      <c r="B913" s="7">
        <v>14</v>
      </c>
      <c r="C913" t="s">
        <v>42</v>
      </c>
      <c r="D913" s="15" t="s">
        <v>56</v>
      </c>
      <c r="E913" s="3" t="s">
        <v>56</v>
      </c>
      <c r="F913" s="3" t="s">
        <v>56</v>
      </c>
    </row>
    <row r="914" spans="1:7" x14ac:dyDescent="0.3">
      <c r="A914" t="s">
        <v>107</v>
      </c>
      <c r="B914" s="7">
        <v>14</v>
      </c>
      <c r="C914" t="s">
        <v>43</v>
      </c>
      <c r="D914" s="15">
        <v>672024</v>
      </c>
      <c r="E914" s="3">
        <v>760838</v>
      </c>
      <c r="F914" s="3">
        <v>-88813</v>
      </c>
    </row>
    <row r="915" spans="1:7" x14ac:dyDescent="0.3">
      <c r="A915" t="s">
        <v>107</v>
      </c>
      <c r="B915" s="7">
        <v>14</v>
      </c>
      <c r="C915" t="s">
        <v>44</v>
      </c>
      <c r="D915" s="15">
        <v>847284</v>
      </c>
      <c r="E915" s="3">
        <v>255139</v>
      </c>
      <c r="F915" s="3">
        <v>592145</v>
      </c>
    </row>
    <row r="916" spans="1:7" x14ac:dyDescent="0.3">
      <c r="A916" t="s">
        <v>107</v>
      </c>
      <c r="B916" s="7">
        <v>14</v>
      </c>
      <c r="C916" t="s">
        <v>45</v>
      </c>
      <c r="D916" s="15">
        <v>329248</v>
      </c>
      <c r="E916" s="3">
        <v>283752</v>
      </c>
      <c r="F916" s="3">
        <v>45495</v>
      </c>
    </row>
    <row r="917" spans="1:7" x14ac:dyDescent="0.3">
      <c r="A917" t="s">
        <v>107</v>
      </c>
      <c r="B917" s="7">
        <v>14</v>
      </c>
      <c r="C917" t="s">
        <v>200</v>
      </c>
      <c r="D917" s="15" t="s">
        <v>56</v>
      </c>
    </row>
    <row r="918" spans="1:7" x14ac:dyDescent="0.3">
      <c r="A918" t="s">
        <v>107</v>
      </c>
      <c r="B918" s="7">
        <v>14</v>
      </c>
      <c r="C918" t="s">
        <v>201</v>
      </c>
      <c r="D918" s="15" t="s">
        <v>56</v>
      </c>
    </row>
    <row r="919" spans="1:7" ht="57.6" x14ac:dyDescent="0.3">
      <c r="A919" s="10" t="s">
        <v>107</v>
      </c>
      <c r="B919" s="7">
        <v>14</v>
      </c>
      <c r="C919" s="10" t="s">
        <v>46</v>
      </c>
      <c r="D919" s="22" t="s">
        <v>129</v>
      </c>
      <c r="E919" s="5" t="s">
        <v>77</v>
      </c>
      <c r="F919" s="6" t="s">
        <v>59</v>
      </c>
      <c r="G919" s="8" t="s">
        <v>61</v>
      </c>
    </row>
    <row r="920" spans="1:7" x14ac:dyDescent="0.3">
      <c r="A920" t="s">
        <v>107</v>
      </c>
      <c r="B920" s="7">
        <v>14</v>
      </c>
      <c r="C920" t="s">
        <v>47</v>
      </c>
      <c r="D920" s="15">
        <v>1758296</v>
      </c>
      <c r="E920" s="3">
        <v>1313539</v>
      </c>
      <c r="F920" s="3">
        <v>444757</v>
      </c>
      <c r="G920" s="4">
        <v>0.33860000000000001</v>
      </c>
    </row>
    <row r="921" spans="1:7" x14ac:dyDescent="0.3">
      <c r="A921" t="s">
        <v>107</v>
      </c>
      <c r="B921" s="7">
        <v>14</v>
      </c>
      <c r="C921" t="s">
        <v>48</v>
      </c>
      <c r="D921" s="15">
        <v>942287</v>
      </c>
      <c r="E921" s="3">
        <v>740137</v>
      </c>
      <c r="F921" s="3">
        <v>202150</v>
      </c>
      <c r="G921" s="4">
        <v>0.27310000000000001</v>
      </c>
    </row>
    <row r="922" spans="1:7" x14ac:dyDescent="0.3">
      <c r="A922" t="s">
        <v>105</v>
      </c>
      <c r="B922" s="7">
        <v>15</v>
      </c>
      <c r="C922" t="s">
        <v>197</v>
      </c>
      <c r="D922" s="15">
        <v>4395786</v>
      </c>
    </row>
    <row r="923" spans="1:7" x14ac:dyDescent="0.3">
      <c r="A923" t="s">
        <v>105</v>
      </c>
      <c r="B923" s="7">
        <v>15</v>
      </c>
      <c r="C923" t="s">
        <v>213</v>
      </c>
      <c r="D923" s="15" t="s">
        <v>56</v>
      </c>
    </row>
    <row r="924" spans="1:7" x14ac:dyDescent="0.3">
      <c r="A924" t="s">
        <v>105</v>
      </c>
      <c r="B924" s="7">
        <v>15</v>
      </c>
      <c r="C924" t="s">
        <v>24</v>
      </c>
      <c r="D924" s="15" t="s">
        <v>56</v>
      </c>
    </row>
    <row r="925" spans="1:7" x14ac:dyDescent="0.3">
      <c r="A925" t="s">
        <v>105</v>
      </c>
      <c r="B925" s="7">
        <v>15</v>
      </c>
      <c r="C925" t="s">
        <v>25</v>
      </c>
      <c r="D925" s="15" t="s">
        <v>56</v>
      </c>
    </row>
    <row r="926" spans="1:7" x14ac:dyDescent="0.3">
      <c r="A926" t="s">
        <v>105</v>
      </c>
      <c r="B926" s="7">
        <v>15</v>
      </c>
      <c r="C926" t="s">
        <v>26</v>
      </c>
      <c r="D926" s="15">
        <v>742558</v>
      </c>
    </row>
    <row r="927" spans="1:7" x14ac:dyDescent="0.3">
      <c r="A927" t="s">
        <v>105</v>
      </c>
      <c r="B927" s="7">
        <v>15</v>
      </c>
      <c r="C927" t="s">
        <v>27</v>
      </c>
      <c r="D927" s="15">
        <v>82</v>
      </c>
    </row>
    <row r="928" spans="1:7" x14ac:dyDescent="0.3">
      <c r="A928" t="s">
        <v>105</v>
      </c>
      <c r="B928" s="7">
        <v>15</v>
      </c>
      <c r="C928" t="s">
        <v>198</v>
      </c>
      <c r="D928" s="15">
        <v>-229663</v>
      </c>
    </row>
    <row r="929" spans="1:4" x14ac:dyDescent="0.3">
      <c r="A929" t="s">
        <v>105</v>
      </c>
      <c r="B929" s="7">
        <v>15</v>
      </c>
      <c r="C929" t="s">
        <v>28</v>
      </c>
      <c r="D929" s="15" t="s">
        <v>56</v>
      </c>
    </row>
    <row r="930" spans="1:4" x14ac:dyDescent="0.3">
      <c r="A930" t="s">
        <v>105</v>
      </c>
      <c r="B930" s="7">
        <v>15</v>
      </c>
      <c r="C930" t="s">
        <v>29</v>
      </c>
    </row>
    <row r="931" spans="1:4" x14ac:dyDescent="0.3">
      <c r="A931" t="s">
        <v>105</v>
      </c>
      <c r="B931" s="7">
        <v>15</v>
      </c>
      <c r="C931" t="s">
        <v>30</v>
      </c>
    </row>
    <row r="932" spans="1:4" x14ac:dyDescent="0.3">
      <c r="A932" t="s">
        <v>105</v>
      </c>
      <c r="B932" s="7">
        <v>15</v>
      </c>
      <c r="C932" t="s">
        <v>53</v>
      </c>
      <c r="D932" s="15">
        <v>-153000</v>
      </c>
    </row>
    <row r="933" spans="1:4" x14ac:dyDescent="0.3">
      <c r="A933" t="s">
        <v>105</v>
      </c>
      <c r="B933" s="7">
        <v>15</v>
      </c>
      <c r="C933" t="s">
        <v>31</v>
      </c>
      <c r="D933" s="15">
        <v>4755764</v>
      </c>
    </row>
    <row r="934" spans="1:4" x14ac:dyDescent="0.3">
      <c r="A934" t="s">
        <v>105</v>
      </c>
      <c r="B934" s="7">
        <v>15</v>
      </c>
      <c r="C934" t="s">
        <v>54</v>
      </c>
      <c r="D934" s="15">
        <v>1500000</v>
      </c>
    </row>
    <row r="935" spans="1:4" x14ac:dyDescent="0.3">
      <c r="A935" t="s">
        <v>105</v>
      </c>
      <c r="B935" s="7">
        <v>15</v>
      </c>
      <c r="C935" t="s">
        <v>199</v>
      </c>
      <c r="D935" s="15">
        <v>848536</v>
      </c>
    </row>
    <row r="936" spans="1:4" x14ac:dyDescent="0.3">
      <c r="A936" t="s">
        <v>105</v>
      </c>
      <c r="B936" s="7">
        <v>15</v>
      </c>
      <c r="C936" t="s">
        <v>32</v>
      </c>
      <c r="D936" s="15">
        <v>4790</v>
      </c>
    </row>
    <row r="937" spans="1:4" x14ac:dyDescent="0.3">
      <c r="A937" t="s">
        <v>105</v>
      </c>
      <c r="B937" s="7">
        <v>15</v>
      </c>
      <c r="C937" t="s">
        <v>33</v>
      </c>
      <c r="D937" s="15">
        <v>300</v>
      </c>
    </row>
    <row r="938" spans="1:4" x14ac:dyDescent="0.3">
      <c r="A938" t="s">
        <v>105</v>
      </c>
      <c r="B938" s="7">
        <v>15</v>
      </c>
      <c r="C938" t="s">
        <v>23</v>
      </c>
      <c r="D938" s="15">
        <v>2353626</v>
      </c>
    </row>
    <row r="939" spans="1:4" x14ac:dyDescent="0.3">
      <c r="A939" t="s">
        <v>105</v>
      </c>
      <c r="B939" s="7">
        <v>15</v>
      </c>
      <c r="C939" t="s">
        <v>54</v>
      </c>
      <c r="D939" s="15">
        <v>1500000</v>
      </c>
    </row>
    <row r="940" spans="1:4" x14ac:dyDescent="0.3">
      <c r="A940" t="s">
        <v>105</v>
      </c>
      <c r="B940" s="7">
        <v>15</v>
      </c>
      <c r="C940" t="s">
        <v>214</v>
      </c>
      <c r="D940" s="15">
        <v>-153000</v>
      </c>
    </row>
    <row r="941" spans="1:4" x14ac:dyDescent="0.3">
      <c r="A941" t="s">
        <v>105</v>
      </c>
      <c r="B941" s="7">
        <v>15</v>
      </c>
      <c r="C941" t="s">
        <v>55</v>
      </c>
    </row>
    <row r="942" spans="1:4" x14ac:dyDescent="0.3">
      <c r="A942" t="s">
        <v>105</v>
      </c>
      <c r="B942" s="7">
        <v>15</v>
      </c>
      <c r="C942" t="s">
        <v>208</v>
      </c>
      <c r="D942" s="15">
        <v>-153000</v>
      </c>
    </row>
    <row r="943" spans="1:4" x14ac:dyDescent="0.3">
      <c r="A943" t="s">
        <v>105</v>
      </c>
      <c r="B943" s="7">
        <v>15</v>
      </c>
      <c r="C943" t="s">
        <v>35</v>
      </c>
      <c r="D943" s="15">
        <v>4755764</v>
      </c>
    </row>
    <row r="944" spans="1:4" x14ac:dyDescent="0.3">
      <c r="A944" t="s">
        <v>105</v>
      </c>
      <c r="B944" s="7">
        <v>15</v>
      </c>
      <c r="C944" t="s">
        <v>36</v>
      </c>
      <c r="D944" s="15">
        <v>2353626</v>
      </c>
    </row>
    <row r="945" spans="1:4" x14ac:dyDescent="0.3">
      <c r="A945" t="s">
        <v>105</v>
      </c>
      <c r="B945" s="7">
        <v>15</v>
      </c>
      <c r="C945" t="s">
        <v>37</v>
      </c>
      <c r="D945" s="15">
        <v>7109390</v>
      </c>
    </row>
    <row r="946" spans="1:4" x14ac:dyDescent="0.3">
      <c r="A946" t="s">
        <v>105</v>
      </c>
      <c r="B946" s="7">
        <v>15</v>
      </c>
      <c r="C946" t="s">
        <v>38</v>
      </c>
      <c r="D946" s="20">
        <v>8.3900000000000002E-2</v>
      </c>
    </row>
    <row r="947" spans="1:4" x14ac:dyDescent="0.3">
      <c r="A947" t="s">
        <v>105</v>
      </c>
      <c r="B947" s="7">
        <v>15</v>
      </c>
      <c r="C947" t="s">
        <v>39</v>
      </c>
      <c r="D947" s="20">
        <v>0.12540000000000001</v>
      </c>
    </row>
    <row r="948" spans="1:4" x14ac:dyDescent="0.3">
      <c r="A948" t="s">
        <v>105</v>
      </c>
      <c r="B948" s="7">
        <v>15</v>
      </c>
      <c r="C948" t="s">
        <v>194</v>
      </c>
      <c r="D948" s="15">
        <v>51243285</v>
      </c>
    </row>
    <row r="949" spans="1:4" x14ac:dyDescent="0.3">
      <c r="A949" t="s">
        <v>105</v>
      </c>
      <c r="B949" s="7">
        <v>15</v>
      </c>
      <c r="C949" t="s">
        <v>181</v>
      </c>
      <c r="D949" s="15">
        <v>3250418</v>
      </c>
    </row>
    <row r="950" spans="1:4" x14ac:dyDescent="0.3">
      <c r="A950" t="s">
        <v>105</v>
      </c>
      <c r="B950" s="7">
        <v>15</v>
      </c>
      <c r="C950" t="s">
        <v>182</v>
      </c>
      <c r="D950" s="15">
        <v>75428</v>
      </c>
    </row>
    <row r="951" spans="1:4" x14ac:dyDescent="0.3">
      <c r="A951" t="s">
        <v>105</v>
      </c>
      <c r="B951" s="7">
        <v>15</v>
      </c>
      <c r="C951" t="s">
        <v>209</v>
      </c>
      <c r="D951" s="20">
        <v>0</v>
      </c>
    </row>
    <row r="952" spans="1:4" x14ac:dyDescent="0.3">
      <c r="A952" t="s">
        <v>105</v>
      </c>
      <c r="B952" s="7">
        <v>15</v>
      </c>
      <c r="C952" t="s">
        <v>210</v>
      </c>
      <c r="D952" s="15">
        <v>470818</v>
      </c>
    </row>
    <row r="953" spans="1:4" x14ac:dyDescent="0.3">
      <c r="A953" t="s">
        <v>105</v>
      </c>
      <c r="B953" s="7">
        <v>15</v>
      </c>
      <c r="C953" t="s">
        <v>211</v>
      </c>
      <c r="D953" s="15">
        <v>1637074</v>
      </c>
    </row>
    <row r="954" spans="1:4" x14ac:dyDescent="0.3">
      <c r="A954" t="s">
        <v>105</v>
      </c>
      <c r="B954" s="7">
        <v>15</v>
      </c>
      <c r="C954" t="s">
        <v>203</v>
      </c>
      <c r="D954" s="15">
        <v>56677023</v>
      </c>
    </row>
    <row r="955" spans="1:4" x14ac:dyDescent="0.3">
      <c r="A955" t="s">
        <v>105</v>
      </c>
      <c r="B955" s="7">
        <v>15</v>
      </c>
      <c r="C955" t="s">
        <v>184</v>
      </c>
      <c r="D955" s="15" t="s">
        <v>56</v>
      </c>
    </row>
    <row r="956" spans="1:4" x14ac:dyDescent="0.3">
      <c r="A956" t="s">
        <v>105</v>
      </c>
      <c r="B956" s="7">
        <v>15</v>
      </c>
      <c r="C956" t="s">
        <v>185</v>
      </c>
      <c r="D956" s="15" t="s">
        <v>56</v>
      </c>
    </row>
    <row r="957" spans="1:4" x14ac:dyDescent="0.3">
      <c r="A957" t="s">
        <v>105</v>
      </c>
      <c r="B957" s="7">
        <v>15</v>
      </c>
      <c r="C957" t="s">
        <v>186</v>
      </c>
      <c r="D957" s="15">
        <v>1298917</v>
      </c>
    </row>
    <row r="958" spans="1:4" x14ac:dyDescent="0.3">
      <c r="A958" t="s">
        <v>105</v>
      </c>
      <c r="B958" s="7">
        <v>15</v>
      </c>
      <c r="C958" t="s">
        <v>187</v>
      </c>
      <c r="D958" s="15">
        <v>9332020</v>
      </c>
    </row>
    <row r="959" spans="1:4" x14ac:dyDescent="0.3">
      <c r="A959" t="s">
        <v>105</v>
      </c>
      <c r="B959" s="7">
        <v>15</v>
      </c>
      <c r="C959" t="s">
        <v>188</v>
      </c>
      <c r="D959" s="15">
        <v>15377267</v>
      </c>
    </row>
    <row r="960" spans="1:4" x14ac:dyDescent="0.3">
      <c r="A960" t="s">
        <v>105</v>
      </c>
      <c r="B960" s="7">
        <v>15</v>
      </c>
      <c r="C960" t="s">
        <v>189</v>
      </c>
      <c r="D960" s="15">
        <v>3185429</v>
      </c>
    </row>
    <row r="961" spans="1:6" x14ac:dyDescent="0.3">
      <c r="A961" t="s">
        <v>105</v>
      </c>
      <c r="B961" s="7">
        <v>15</v>
      </c>
      <c r="C961" t="s">
        <v>190</v>
      </c>
      <c r="D961" s="15">
        <v>239161</v>
      </c>
    </row>
    <row r="962" spans="1:6" x14ac:dyDescent="0.3">
      <c r="A962" t="s">
        <v>105</v>
      </c>
      <c r="B962" s="7">
        <v>15</v>
      </c>
      <c r="C962" t="s">
        <v>191</v>
      </c>
      <c r="D962" s="15">
        <v>7979303</v>
      </c>
    </row>
    <row r="963" spans="1:6" x14ac:dyDescent="0.3">
      <c r="A963" t="s">
        <v>105</v>
      </c>
      <c r="B963" s="7">
        <v>15</v>
      </c>
      <c r="C963" t="s">
        <v>192</v>
      </c>
      <c r="D963" s="15">
        <v>9818246</v>
      </c>
    </row>
    <row r="964" spans="1:6" x14ac:dyDescent="0.3">
      <c r="A964" t="s">
        <v>105</v>
      </c>
      <c r="B964" s="7">
        <v>15</v>
      </c>
      <c r="C964" t="s">
        <v>40</v>
      </c>
      <c r="D964" s="15">
        <v>254275</v>
      </c>
    </row>
    <row r="965" spans="1:6" x14ac:dyDescent="0.3">
      <c r="A965" t="s">
        <v>105</v>
      </c>
      <c r="B965" s="7">
        <v>15</v>
      </c>
      <c r="C965" t="s">
        <v>41</v>
      </c>
      <c r="D965" s="15">
        <v>3315449</v>
      </c>
    </row>
    <row r="966" spans="1:6" x14ac:dyDescent="0.3">
      <c r="A966" t="s">
        <v>105</v>
      </c>
      <c r="B966" s="7">
        <v>15</v>
      </c>
      <c r="C966" t="s">
        <v>193</v>
      </c>
      <c r="D966" s="15">
        <v>443218</v>
      </c>
    </row>
    <row r="967" spans="1:6" x14ac:dyDescent="0.3">
      <c r="A967" t="s">
        <v>105</v>
      </c>
      <c r="B967" s="7">
        <v>15</v>
      </c>
      <c r="C967" t="s">
        <v>194</v>
      </c>
      <c r="D967" s="15">
        <v>51243285</v>
      </c>
    </row>
    <row r="968" spans="1:6" x14ac:dyDescent="0.3">
      <c r="A968" t="s">
        <v>105</v>
      </c>
      <c r="B968" s="7">
        <v>15</v>
      </c>
      <c r="C968" t="s">
        <v>181</v>
      </c>
      <c r="D968" s="15">
        <v>3250418</v>
      </c>
    </row>
    <row r="969" spans="1:6" x14ac:dyDescent="0.3">
      <c r="A969" t="s">
        <v>105</v>
      </c>
      <c r="B969" s="7">
        <v>15</v>
      </c>
      <c r="C969" t="s">
        <v>182</v>
      </c>
      <c r="D969" s="15">
        <v>75428</v>
      </c>
    </row>
    <row r="970" spans="1:6" x14ac:dyDescent="0.3">
      <c r="A970" t="s">
        <v>105</v>
      </c>
      <c r="B970" s="7">
        <v>15</v>
      </c>
      <c r="C970" t="s">
        <v>209</v>
      </c>
      <c r="D970" s="20">
        <v>0</v>
      </c>
    </row>
    <row r="971" spans="1:6" x14ac:dyDescent="0.3">
      <c r="A971" t="s">
        <v>105</v>
      </c>
      <c r="B971" s="7">
        <v>15</v>
      </c>
      <c r="C971" t="s">
        <v>210</v>
      </c>
      <c r="D971" s="15">
        <v>470818</v>
      </c>
    </row>
    <row r="972" spans="1:6" x14ac:dyDescent="0.3">
      <c r="A972" t="s">
        <v>105</v>
      </c>
      <c r="B972" s="7">
        <v>15</v>
      </c>
      <c r="C972" t="s">
        <v>211</v>
      </c>
      <c r="D972" s="15">
        <v>1637074</v>
      </c>
    </row>
    <row r="973" spans="1:6" x14ac:dyDescent="0.3">
      <c r="A973" t="s">
        <v>105</v>
      </c>
      <c r="B973" s="7">
        <v>15</v>
      </c>
      <c r="C973" t="s">
        <v>203</v>
      </c>
      <c r="D973" s="15">
        <v>56677023</v>
      </c>
    </row>
    <row r="974" spans="1:6" x14ac:dyDescent="0.3">
      <c r="A974" t="s">
        <v>105</v>
      </c>
      <c r="B974" s="7">
        <v>15</v>
      </c>
      <c r="C974" t="s">
        <v>21</v>
      </c>
      <c r="D974" s="15">
        <v>7109389.9199999999</v>
      </c>
    </row>
    <row r="975" spans="1:6" x14ac:dyDescent="0.3">
      <c r="A975" t="s">
        <v>105</v>
      </c>
      <c r="B975" s="7">
        <v>15</v>
      </c>
      <c r="C975" t="s">
        <v>22</v>
      </c>
      <c r="D975" s="20">
        <v>0.12540000000000001</v>
      </c>
    </row>
    <row r="976" spans="1:6" x14ac:dyDescent="0.3">
      <c r="A976" s="10" t="s">
        <v>105</v>
      </c>
      <c r="B976" s="7">
        <v>15</v>
      </c>
      <c r="C976" s="10" t="s">
        <v>20</v>
      </c>
      <c r="D976" s="21" t="s">
        <v>57</v>
      </c>
      <c r="E976" s="6" t="s">
        <v>64</v>
      </c>
      <c r="F976" s="6" t="s">
        <v>58</v>
      </c>
    </row>
    <row r="977" spans="1:7" x14ac:dyDescent="0.3">
      <c r="A977" t="s">
        <v>105</v>
      </c>
      <c r="B977" s="7">
        <v>15</v>
      </c>
      <c r="C977" t="s">
        <v>42</v>
      </c>
      <c r="D977" s="15" t="s">
        <v>56</v>
      </c>
      <c r="E977" s="3" t="s">
        <v>56</v>
      </c>
      <c r="F977" s="3" t="s">
        <v>56</v>
      </c>
    </row>
    <row r="978" spans="1:7" x14ac:dyDescent="0.3">
      <c r="A978" t="s">
        <v>105</v>
      </c>
      <c r="B978" s="7">
        <v>15</v>
      </c>
      <c r="C978" t="s">
        <v>43</v>
      </c>
      <c r="D978" s="15">
        <v>763366</v>
      </c>
      <c r="E978" s="3">
        <v>183957</v>
      </c>
      <c r="F978" s="3">
        <v>579409</v>
      </c>
    </row>
    <row r="979" spans="1:7" x14ac:dyDescent="0.3">
      <c r="A979" t="s">
        <v>105</v>
      </c>
      <c r="B979" s="7">
        <v>15</v>
      </c>
      <c r="C979" t="s">
        <v>44</v>
      </c>
      <c r="D979" s="15">
        <v>825198</v>
      </c>
      <c r="E979" s="3">
        <v>392050</v>
      </c>
      <c r="F979" s="3">
        <v>433149</v>
      </c>
    </row>
    <row r="980" spans="1:7" x14ac:dyDescent="0.3">
      <c r="A980" t="s">
        <v>105</v>
      </c>
      <c r="B980" s="7">
        <v>15</v>
      </c>
      <c r="C980" t="s">
        <v>45</v>
      </c>
      <c r="D980" s="15">
        <v>468200</v>
      </c>
      <c r="E980" s="3">
        <v>399191</v>
      </c>
      <c r="F980" s="3">
        <v>69009</v>
      </c>
    </row>
    <row r="981" spans="1:7" x14ac:dyDescent="0.3">
      <c r="A981" t="s">
        <v>105</v>
      </c>
      <c r="B981" s="7">
        <v>15</v>
      </c>
      <c r="C981" t="s">
        <v>195</v>
      </c>
      <c r="D981" s="20">
        <v>3.8899999999999997E-2</v>
      </c>
    </row>
    <row r="982" spans="1:7" x14ac:dyDescent="0.3">
      <c r="A982" t="s">
        <v>105</v>
      </c>
      <c r="B982" s="7">
        <v>15</v>
      </c>
      <c r="C982" t="s">
        <v>196</v>
      </c>
      <c r="D982" s="20">
        <v>2.12E-2</v>
      </c>
    </row>
    <row r="983" spans="1:7" ht="72" x14ac:dyDescent="0.3">
      <c r="A983" s="10" t="s">
        <v>105</v>
      </c>
      <c r="B983" s="7">
        <v>15</v>
      </c>
      <c r="C983" s="10" t="s">
        <v>20</v>
      </c>
      <c r="D983" s="22" t="s">
        <v>127</v>
      </c>
      <c r="E983" s="5" t="s">
        <v>74</v>
      </c>
      <c r="F983" s="6" t="s">
        <v>59</v>
      </c>
    </row>
    <row r="984" spans="1:7" x14ac:dyDescent="0.3">
      <c r="A984" t="s">
        <v>105</v>
      </c>
      <c r="B984" s="7">
        <v>15</v>
      </c>
      <c r="C984" t="s">
        <v>42</v>
      </c>
      <c r="D984" s="15" t="s">
        <v>56</v>
      </c>
      <c r="E984" s="3" t="s">
        <v>56</v>
      </c>
      <c r="F984" s="3" t="s">
        <v>56</v>
      </c>
    </row>
    <row r="985" spans="1:7" x14ac:dyDescent="0.3">
      <c r="A985" t="s">
        <v>105</v>
      </c>
      <c r="B985" s="7">
        <v>15</v>
      </c>
      <c r="C985" t="s">
        <v>43</v>
      </c>
      <c r="D985" s="15">
        <v>763366</v>
      </c>
      <c r="E985" s="3">
        <v>672024</v>
      </c>
      <c r="F985" s="3">
        <v>91342</v>
      </c>
    </row>
    <row r="986" spans="1:7" x14ac:dyDescent="0.3">
      <c r="A986" t="s">
        <v>105</v>
      </c>
      <c r="B986" s="7">
        <v>15</v>
      </c>
      <c r="C986" t="s">
        <v>44</v>
      </c>
      <c r="D986" s="15">
        <v>825198</v>
      </c>
      <c r="E986" s="3">
        <v>847284</v>
      </c>
      <c r="F986" s="3">
        <v>-22085</v>
      </c>
    </row>
    <row r="987" spans="1:7" x14ac:dyDescent="0.3">
      <c r="A987" t="s">
        <v>105</v>
      </c>
      <c r="B987" s="7">
        <v>15</v>
      </c>
      <c r="C987" t="s">
        <v>45</v>
      </c>
      <c r="D987" s="15">
        <v>468200</v>
      </c>
      <c r="E987" s="3">
        <v>329248</v>
      </c>
      <c r="F987" s="3">
        <v>138952</v>
      </c>
    </row>
    <row r="988" spans="1:7" x14ac:dyDescent="0.3">
      <c r="A988" t="s">
        <v>105</v>
      </c>
      <c r="B988" s="7">
        <v>15</v>
      </c>
      <c r="C988" t="s">
        <v>200</v>
      </c>
      <c r="D988" s="15" t="s">
        <v>56</v>
      </c>
    </row>
    <row r="989" spans="1:7" x14ac:dyDescent="0.3">
      <c r="A989" t="s">
        <v>105</v>
      </c>
      <c r="B989" s="7">
        <v>15</v>
      </c>
      <c r="C989" t="s">
        <v>201</v>
      </c>
      <c r="D989" s="15" t="s">
        <v>56</v>
      </c>
    </row>
    <row r="990" spans="1:7" ht="57.6" x14ac:dyDescent="0.3">
      <c r="A990" s="10" t="s">
        <v>105</v>
      </c>
      <c r="B990" s="7">
        <v>15</v>
      </c>
      <c r="C990" s="10" t="s">
        <v>46</v>
      </c>
      <c r="D990" s="22" t="s">
        <v>127</v>
      </c>
      <c r="E990" s="5" t="s">
        <v>75</v>
      </c>
      <c r="F990" s="6" t="s">
        <v>59</v>
      </c>
      <c r="G990" s="8" t="s">
        <v>61</v>
      </c>
    </row>
    <row r="991" spans="1:7" x14ac:dyDescent="0.3">
      <c r="A991" t="s">
        <v>105</v>
      </c>
      <c r="B991" s="7">
        <v>15</v>
      </c>
      <c r="C991" t="s">
        <v>47</v>
      </c>
      <c r="D991" s="15">
        <v>1823734</v>
      </c>
      <c r="E991" s="3">
        <v>1758296</v>
      </c>
      <c r="F991" s="3">
        <v>65438</v>
      </c>
      <c r="G991" s="4">
        <v>3.7199999999999997E-2</v>
      </c>
    </row>
    <row r="992" spans="1:7" x14ac:dyDescent="0.3">
      <c r="A992" t="s">
        <v>105</v>
      </c>
      <c r="B992" s="7">
        <v>15</v>
      </c>
      <c r="C992" t="s">
        <v>48</v>
      </c>
      <c r="D992" s="15">
        <v>805674</v>
      </c>
      <c r="E992" s="3">
        <v>605184</v>
      </c>
      <c r="F992" s="3">
        <v>200490</v>
      </c>
      <c r="G992" s="4">
        <v>0.33129999999999998</v>
      </c>
    </row>
    <row r="993" spans="1:4" x14ac:dyDescent="0.3">
      <c r="A993" t="s">
        <v>102</v>
      </c>
      <c r="B993" s="7">
        <v>17</v>
      </c>
      <c r="C993" t="s">
        <v>197</v>
      </c>
      <c r="D993" s="15">
        <v>4395786</v>
      </c>
    </row>
    <row r="994" spans="1:4" x14ac:dyDescent="0.3">
      <c r="A994" t="s">
        <v>102</v>
      </c>
      <c r="B994" s="7">
        <v>17</v>
      </c>
      <c r="C994" t="s">
        <v>213</v>
      </c>
      <c r="D994" s="15" t="s">
        <v>56</v>
      </c>
    </row>
    <row r="995" spans="1:4" x14ac:dyDescent="0.3">
      <c r="A995" t="s">
        <v>102</v>
      </c>
      <c r="B995" s="7">
        <v>17</v>
      </c>
      <c r="C995" t="s">
        <v>24</v>
      </c>
      <c r="D995" s="15" t="s">
        <v>56</v>
      </c>
    </row>
    <row r="996" spans="1:4" x14ac:dyDescent="0.3">
      <c r="A996" t="s">
        <v>102</v>
      </c>
      <c r="B996" s="7">
        <v>17</v>
      </c>
      <c r="C996" t="s">
        <v>25</v>
      </c>
      <c r="D996" s="15">
        <v>863359</v>
      </c>
    </row>
    <row r="997" spans="1:4" x14ac:dyDescent="0.3">
      <c r="A997" t="s">
        <v>102</v>
      </c>
      <c r="B997" s="7">
        <v>17</v>
      </c>
      <c r="C997" t="s">
        <v>26</v>
      </c>
      <c r="D997" s="15">
        <v>-131564</v>
      </c>
    </row>
    <row r="998" spans="1:4" x14ac:dyDescent="0.3">
      <c r="A998" t="s">
        <v>102</v>
      </c>
      <c r="B998" s="7">
        <v>17</v>
      </c>
      <c r="C998" t="s">
        <v>27</v>
      </c>
      <c r="D998" s="15" t="s">
        <v>56</v>
      </c>
    </row>
    <row r="999" spans="1:4" x14ac:dyDescent="0.3">
      <c r="A999" t="s">
        <v>102</v>
      </c>
      <c r="B999" s="7">
        <v>17</v>
      </c>
      <c r="C999" t="s">
        <v>198</v>
      </c>
      <c r="D999" s="15" t="s">
        <v>56</v>
      </c>
    </row>
    <row r="1000" spans="1:4" x14ac:dyDescent="0.3">
      <c r="A1000" t="s">
        <v>102</v>
      </c>
      <c r="B1000" s="7">
        <v>17</v>
      </c>
      <c r="C1000" t="s">
        <v>28</v>
      </c>
      <c r="D1000" s="15" t="s">
        <v>56</v>
      </c>
    </row>
    <row r="1001" spans="1:4" x14ac:dyDescent="0.3">
      <c r="A1001" t="s">
        <v>102</v>
      </c>
      <c r="B1001" s="7">
        <v>17</v>
      </c>
      <c r="C1001" t="s">
        <v>29</v>
      </c>
    </row>
    <row r="1002" spans="1:4" x14ac:dyDescent="0.3">
      <c r="A1002" t="s">
        <v>102</v>
      </c>
      <c r="B1002" s="7">
        <v>17</v>
      </c>
      <c r="C1002" t="s">
        <v>30</v>
      </c>
    </row>
    <row r="1003" spans="1:4" x14ac:dyDescent="0.3">
      <c r="A1003" t="s">
        <v>102</v>
      </c>
      <c r="B1003" s="7">
        <v>17</v>
      </c>
      <c r="C1003" t="s">
        <v>53</v>
      </c>
      <c r="D1003" s="15">
        <v>-153000</v>
      </c>
    </row>
    <row r="1004" spans="1:4" x14ac:dyDescent="0.3">
      <c r="A1004" t="s">
        <v>102</v>
      </c>
      <c r="B1004" s="7">
        <v>17</v>
      </c>
      <c r="C1004" t="s">
        <v>31</v>
      </c>
      <c r="D1004" s="15">
        <v>4974581</v>
      </c>
    </row>
    <row r="1005" spans="1:4" x14ac:dyDescent="0.3">
      <c r="A1005" t="s">
        <v>102</v>
      </c>
      <c r="B1005" s="7">
        <v>17</v>
      </c>
      <c r="C1005" t="s">
        <v>54</v>
      </c>
      <c r="D1005" s="15">
        <v>1500000</v>
      </c>
    </row>
    <row r="1006" spans="1:4" x14ac:dyDescent="0.3">
      <c r="A1006" t="s">
        <v>102</v>
      </c>
      <c r="B1006" s="7">
        <v>17</v>
      </c>
      <c r="C1006" t="s">
        <v>199</v>
      </c>
      <c r="D1006" s="15">
        <v>868512</v>
      </c>
    </row>
    <row r="1007" spans="1:4" x14ac:dyDescent="0.3">
      <c r="A1007" t="s">
        <v>102</v>
      </c>
      <c r="B1007" s="7">
        <v>17</v>
      </c>
      <c r="C1007" t="s">
        <v>32</v>
      </c>
      <c r="D1007" s="15">
        <v>5773</v>
      </c>
    </row>
    <row r="1008" spans="1:4" x14ac:dyDescent="0.3">
      <c r="A1008" t="s">
        <v>102</v>
      </c>
      <c r="B1008" s="7">
        <v>17</v>
      </c>
      <c r="C1008" t="s">
        <v>33</v>
      </c>
      <c r="D1008" s="15">
        <v>300</v>
      </c>
    </row>
    <row r="1009" spans="1:4" x14ac:dyDescent="0.3">
      <c r="A1009" t="s">
        <v>102</v>
      </c>
      <c r="B1009" s="7">
        <v>17</v>
      </c>
      <c r="C1009" t="s">
        <v>23</v>
      </c>
      <c r="D1009" s="15">
        <v>2374585</v>
      </c>
    </row>
    <row r="1010" spans="1:4" x14ac:dyDescent="0.3">
      <c r="A1010" t="s">
        <v>102</v>
      </c>
      <c r="B1010" s="7">
        <v>17</v>
      </c>
      <c r="C1010" t="s">
        <v>54</v>
      </c>
      <c r="D1010" s="15">
        <v>1500000</v>
      </c>
    </row>
    <row r="1011" spans="1:4" x14ac:dyDescent="0.3">
      <c r="A1011" t="s">
        <v>102</v>
      </c>
      <c r="B1011" s="7">
        <v>17</v>
      </c>
      <c r="C1011" t="s">
        <v>214</v>
      </c>
      <c r="D1011" s="15">
        <v>-153000</v>
      </c>
    </row>
    <row r="1012" spans="1:4" x14ac:dyDescent="0.3">
      <c r="A1012" t="s">
        <v>102</v>
      </c>
      <c r="B1012" s="7">
        <v>17</v>
      </c>
      <c r="C1012" t="s">
        <v>55</v>
      </c>
    </row>
    <row r="1013" spans="1:4" x14ac:dyDescent="0.3">
      <c r="A1013" t="s">
        <v>102</v>
      </c>
      <c r="B1013" s="7">
        <v>17</v>
      </c>
      <c r="C1013" t="s">
        <v>208</v>
      </c>
      <c r="D1013" s="15">
        <v>-153000</v>
      </c>
    </row>
    <row r="1014" spans="1:4" x14ac:dyDescent="0.3">
      <c r="A1014" t="s">
        <v>102</v>
      </c>
      <c r="B1014" s="7">
        <v>17</v>
      </c>
      <c r="C1014" t="s">
        <v>35</v>
      </c>
      <c r="D1014" s="15">
        <v>4974581</v>
      </c>
    </row>
    <row r="1015" spans="1:4" x14ac:dyDescent="0.3">
      <c r="A1015" t="s">
        <v>102</v>
      </c>
      <c r="B1015" s="7">
        <v>17</v>
      </c>
      <c r="C1015" t="s">
        <v>36</v>
      </c>
      <c r="D1015" s="15">
        <v>2374585</v>
      </c>
    </row>
    <row r="1016" spans="1:4" x14ac:dyDescent="0.3">
      <c r="A1016" t="s">
        <v>102</v>
      </c>
      <c r="B1016" s="7">
        <v>17</v>
      </c>
      <c r="C1016" t="s">
        <v>37</v>
      </c>
      <c r="D1016" s="15">
        <v>7349166</v>
      </c>
    </row>
    <row r="1017" spans="1:4" x14ac:dyDescent="0.3">
      <c r="A1017" t="s">
        <v>102</v>
      </c>
      <c r="B1017" s="7">
        <v>17</v>
      </c>
      <c r="C1017" t="s">
        <v>38</v>
      </c>
      <c r="D1017" s="20">
        <v>8.7900000000000006E-2</v>
      </c>
    </row>
    <row r="1018" spans="1:4" x14ac:dyDescent="0.3">
      <c r="A1018" t="s">
        <v>102</v>
      </c>
      <c r="B1018" s="7">
        <v>17</v>
      </c>
      <c r="C1018" t="s">
        <v>39</v>
      </c>
      <c r="D1018" s="20">
        <v>0.12989999999999999</v>
      </c>
    </row>
    <row r="1019" spans="1:4" x14ac:dyDescent="0.3">
      <c r="A1019" t="s">
        <v>102</v>
      </c>
      <c r="B1019" s="7">
        <v>17</v>
      </c>
      <c r="C1019" t="s">
        <v>194</v>
      </c>
      <c r="D1019" s="15">
        <v>50926120</v>
      </c>
    </row>
    <row r="1020" spans="1:4" x14ac:dyDescent="0.3">
      <c r="A1020" t="s">
        <v>102</v>
      </c>
      <c r="B1020" s="7">
        <v>17</v>
      </c>
      <c r="C1020" t="s">
        <v>181</v>
      </c>
      <c r="D1020" s="15">
        <v>3391227</v>
      </c>
    </row>
    <row r="1021" spans="1:4" x14ac:dyDescent="0.3">
      <c r="A1021" t="s">
        <v>102</v>
      </c>
      <c r="B1021" s="7">
        <v>17</v>
      </c>
      <c r="C1021" t="s">
        <v>182</v>
      </c>
      <c r="D1021" s="15">
        <v>122210</v>
      </c>
    </row>
    <row r="1022" spans="1:4" x14ac:dyDescent="0.3">
      <c r="A1022" t="s">
        <v>102</v>
      </c>
      <c r="B1022" s="7">
        <v>17</v>
      </c>
      <c r="C1022" t="s">
        <v>209</v>
      </c>
    </row>
    <row r="1023" spans="1:4" x14ac:dyDescent="0.3">
      <c r="A1023" t="s">
        <v>102</v>
      </c>
      <c r="B1023" s="7">
        <v>17</v>
      </c>
      <c r="C1023" t="s">
        <v>210</v>
      </c>
      <c r="D1023" s="15">
        <v>492742</v>
      </c>
    </row>
    <row r="1024" spans="1:4" x14ac:dyDescent="0.3">
      <c r="A1024" t="s">
        <v>102</v>
      </c>
      <c r="B1024" s="7">
        <v>17</v>
      </c>
      <c r="C1024" t="s">
        <v>211</v>
      </c>
      <c r="D1024" s="15">
        <v>1633187</v>
      </c>
    </row>
    <row r="1025" spans="1:4" x14ac:dyDescent="0.3">
      <c r="A1025" t="s">
        <v>102</v>
      </c>
      <c r="B1025" s="7">
        <v>17</v>
      </c>
      <c r="C1025" t="s">
        <v>203</v>
      </c>
      <c r="D1025" s="15">
        <v>56565486</v>
      </c>
    </row>
    <row r="1026" spans="1:4" x14ac:dyDescent="0.3">
      <c r="A1026" t="s">
        <v>102</v>
      </c>
      <c r="B1026" s="7">
        <v>17</v>
      </c>
      <c r="C1026" t="s">
        <v>184</v>
      </c>
      <c r="D1026" s="15" t="s">
        <v>56</v>
      </c>
    </row>
    <row r="1027" spans="1:4" x14ac:dyDescent="0.3">
      <c r="A1027" t="s">
        <v>102</v>
      </c>
      <c r="B1027" s="7">
        <v>17</v>
      </c>
      <c r="C1027" t="s">
        <v>185</v>
      </c>
      <c r="D1027" s="15" t="s">
        <v>56</v>
      </c>
    </row>
    <row r="1028" spans="1:4" x14ac:dyDescent="0.3">
      <c r="A1028" t="s">
        <v>102</v>
      </c>
      <c r="B1028" s="7">
        <v>17</v>
      </c>
      <c r="C1028" t="s">
        <v>186</v>
      </c>
      <c r="D1028" s="15">
        <v>1408773</v>
      </c>
    </row>
    <row r="1029" spans="1:4" x14ac:dyDescent="0.3">
      <c r="A1029" t="s">
        <v>102</v>
      </c>
      <c r="B1029" s="7">
        <v>17</v>
      </c>
      <c r="C1029" t="s">
        <v>187</v>
      </c>
      <c r="D1029" s="15">
        <v>8391505</v>
      </c>
    </row>
    <row r="1030" spans="1:4" x14ac:dyDescent="0.3">
      <c r="A1030" t="s">
        <v>102</v>
      </c>
      <c r="B1030" s="7">
        <v>17</v>
      </c>
      <c r="C1030" t="s">
        <v>188</v>
      </c>
      <c r="D1030" s="15">
        <v>17251574</v>
      </c>
    </row>
    <row r="1031" spans="1:4" x14ac:dyDescent="0.3">
      <c r="A1031" t="s">
        <v>102</v>
      </c>
      <c r="B1031" s="7">
        <v>17</v>
      </c>
      <c r="C1031" t="s">
        <v>189</v>
      </c>
      <c r="D1031" s="15">
        <v>3740038</v>
      </c>
    </row>
    <row r="1032" spans="1:4" x14ac:dyDescent="0.3">
      <c r="A1032" t="s">
        <v>102</v>
      </c>
      <c r="B1032" s="7">
        <v>17</v>
      </c>
      <c r="C1032" t="s">
        <v>190</v>
      </c>
      <c r="D1032" s="15">
        <v>81165</v>
      </c>
    </row>
    <row r="1033" spans="1:4" x14ac:dyDescent="0.3">
      <c r="A1033" t="s">
        <v>102</v>
      </c>
      <c r="B1033" s="7">
        <v>17</v>
      </c>
      <c r="C1033" t="s">
        <v>191</v>
      </c>
      <c r="D1033" s="15">
        <v>8960424</v>
      </c>
    </row>
    <row r="1034" spans="1:4" x14ac:dyDescent="0.3">
      <c r="A1034" t="s">
        <v>102</v>
      </c>
      <c r="B1034" s="7">
        <v>17</v>
      </c>
      <c r="C1034" t="s">
        <v>192</v>
      </c>
      <c r="D1034" s="15">
        <v>6798520</v>
      </c>
    </row>
    <row r="1035" spans="1:4" x14ac:dyDescent="0.3">
      <c r="A1035" t="s">
        <v>102</v>
      </c>
      <c r="B1035" s="7">
        <v>17</v>
      </c>
      <c r="C1035" t="s">
        <v>40</v>
      </c>
      <c r="D1035" s="15">
        <v>482364</v>
      </c>
    </row>
    <row r="1036" spans="1:4" x14ac:dyDescent="0.3">
      <c r="A1036" t="s">
        <v>102</v>
      </c>
      <c r="B1036" s="7">
        <v>17</v>
      </c>
      <c r="C1036" t="s">
        <v>215</v>
      </c>
      <c r="D1036" s="15">
        <v>100096</v>
      </c>
    </row>
    <row r="1037" spans="1:4" x14ac:dyDescent="0.3">
      <c r="A1037" t="s">
        <v>102</v>
      </c>
      <c r="B1037" s="7">
        <v>17</v>
      </c>
      <c r="C1037" t="s">
        <v>216</v>
      </c>
      <c r="D1037" s="15">
        <v>63903</v>
      </c>
    </row>
    <row r="1038" spans="1:4" x14ac:dyDescent="0.3">
      <c r="A1038" t="s">
        <v>102</v>
      </c>
      <c r="B1038" s="7">
        <v>17</v>
      </c>
      <c r="C1038" t="s">
        <v>41</v>
      </c>
      <c r="D1038" s="15">
        <v>3252582</v>
      </c>
    </row>
    <row r="1039" spans="1:4" x14ac:dyDescent="0.3">
      <c r="A1039" t="s">
        <v>102</v>
      </c>
      <c r="B1039" s="7">
        <v>17</v>
      </c>
      <c r="C1039" t="s">
        <v>193</v>
      </c>
      <c r="D1039" s="15">
        <v>395175</v>
      </c>
    </row>
    <row r="1040" spans="1:4" x14ac:dyDescent="0.3">
      <c r="A1040" t="s">
        <v>102</v>
      </c>
      <c r="B1040" s="7">
        <v>17</v>
      </c>
      <c r="C1040" t="s">
        <v>194</v>
      </c>
      <c r="D1040" s="15">
        <v>50926120</v>
      </c>
    </row>
    <row r="1041" spans="1:6" x14ac:dyDescent="0.3">
      <c r="A1041" t="s">
        <v>102</v>
      </c>
      <c r="B1041" s="7">
        <v>17</v>
      </c>
      <c r="C1041" t="s">
        <v>181</v>
      </c>
      <c r="D1041" s="15">
        <v>3391227</v>
      </c>
    </row>
    <row r="1042" spans="1:6" x14ac:dyDescent="0.3">
      <c r="A1042" t="s">
        <v>102</v>
      </c>
      <c r="B1042" s="7">
        <v>17</v>
      </c>
      <c r="C1042" t="s">
        <v>182</v>
      </c>
      <c r="D1042" s="15">
        <v>122210</v>
      </c>
    </row>
    <row r="1043" spans="1:6" x14ac:dyDescent="0.3">
      <c r="A1043" t="s">
        <v>102</v>
      </c>
      <c r="B1043" s="7">
        <v>17</v>
      </c>
      <c r="C1043" t="s">
        <v>209</v>
      </c>
      <c r="D1043" s="20">
        <v>0</v>
      </c>
    </row>
    <row r="1044" spans="1:6" x14ac:dyDescent="0.3">
      <c r="A1044" t="s">
        <v>102</v>
      </c>
      <c r="B1044" s="7">
        <v>17</v>
      </c>
      <c r="C1044" t="s">
        <v>210</v>
      </c>
      <c r="D1044" s="15">
        <v>492742</v>
      </c>
    </row>
    <row r="1045" spans="1:6" x14ac:dyDescent="0.3">
      <c r="A1045" t="s">
        <v>102</v>
      </c>
      <c r="B1045" s="7">
        <v>17</v>
      </c>
      <c r="C1045" t="s">
        <v>211</v>
      </c>
      <c r="D1045" s="15">
        <v>1633187</v>
      </c>
    </row>
    <row r="1046" spans="1:6" x14ac:dyDescent="0.3">
      <c r="A1046" t="s">
        <v>102</v>
      </c>
      <c r="B1046" s="7">
        <v>17</v>
      </c>
      <c r="C1046" t="s">
        <v>203</v>
      </c>
      <c r="D1046" s="15">
        <v>56565486</v>
      </c>
    </row>
    <row r="1047" spans="1:6" x14ac:dyDescent="0.3">
      <c r="A1047" t="s">
        <v>102</v>
      </c>
      <c r="B1047" s="7">
        <v>17</v>
      </c>
      <c r="C1047" t="s">
        <v>21</v>
      </c>
      <c r="D1047" s="15">
        <v>7349165.8899999997</v>
      </c>
    </row>
    <row r="1048" spans="1:6" x14ac:dyDescent="0.3">
      <c r="A1048" t="s">
        <v>102</v>
      </c>
      <c r="B1048" s="7">
        <v>17</v>
      </c>
      <c r="C1048" t="s">
        <v>22</v>
      </c>
      <c r="D1048" s="20">
        <v>0.12989999999999999</v>
      </c>
    </row>
    <row r="1049" spans="1:6" x14ac:dyDescent="0.3">
      <c r="A1049" s="10" t="s">
        <v>102</v>
      </c>
      <c r="B1049" s="7">
        <v>17</v>
      </c>
      <c r="C1049" s="10" t="s">
        <v>20</v>
      </c>
      <c r="D1049" s="21" t="s">
        <v>57</v>
      </c>
      <c r="E1049" s="6" t="s">
        <v>64</v>
      </c>
      <c r="F1049" s="6" t="s">
        <v>58</v>
      </c>
    </row>
    <row r="1050" spans="1:6" x14ac:dyDescent="0.3">
      <c r="A1050" t="s">
        <v>102</v>
      </c>
      <c r="B1050" s="7">
        <v>17</v>
      </c>
      <c r="C1050" t="s">
        <v>42</v>
      </c>
      <c r="D1050" s="15" t="s">
        <v>56</v>
      </c>
      <c r="E1050" s="3" t="s">
        <v>56</v>
      </c>
      <c r="F1050" s="3" t="s">
        <v>56</v>
      </c>
    </row>
    <row r="1051" spans="1:6" x14ac:dyDescent="0.3">
      <c r="A1051" t="s">
        <v>102</v>
      </c>
      <c r="B1051" s="7">
        <v>17</v>
      </c>
      <c r="C1051" t="s">
        <v>43</v>
      </c>
      <c r="D1051" s="15">
        <v>612482</v>
      </c>
      <c r="E1051" s="3">
        <v>145735</v>
      </c>
      <c r="F1051" s="3">
        <v>466747</v>
      </c>
    </row>
    <row r="1052" spans="1:6" x14ac:dyDescent="0.3">
      <c r="A1052" t="s">
        <v>102</v>
      </c>
      <c r="B1052" s="7">
        <v>17</v>
      </c>
      <c r="C1052" t="s">
        <v>44</v>
      </c>
      <c r="D1052" s="15">
        <v>768028</v>
      </c>
      <c r="E1052" s="3">
        <v>374151</v>
      </c>
      <c r="F1052" s="3">
        <v>393877</v>
      </c>
    </row>
    <row r="1053" spans="1:6" x14ac:dyDescent="0.3">
      <c r="A1053" t="s">
        <v>102</v>
      </c>
      <c r="B1053" s="7">
        <v>17</v>
      </c>
      <c r="C1053" t="s">
        <v>45</v>
      </c>
      <c r="D1053" s="15">
        <v>660503</v>
      </c>
      <c r="E1053" s="3">
        <v>577922</v>
      </c>
      <c r="F1053" s="3">
        <v>82581</v>
      </c>
    </row>
    <row r="1054" spans="1:6" x14ac:dyDescent="0.3">
      <c r="A1054" t="s">
        <v>102</v>
      </c>
      <c r="B1054" s="7">
        <v>17</v>
      </c>
      <c r="C1054" t="s">
        <v>195</v>
      </c>
      <c r="D1054" s="20">
        <v>3.7499999999999999E-2</v>
      </c>
    </row>
    <row r="1055" spans="1:6" x14ac:dyDescent="0.3">
      <c r="A1055" t="s">
        <v>102</v>
      </c>
      <c r="B1055" s="7">
        <v>17</v>
      </c>
      <c r="C1055" t="s">
        <v>196</v>
      </c>
      <c r="D1055" s="20">
        <v>1.7999999999999999E-2</v>
      </c>
    </row>
    <row r="1056" spans="1:6" ht="57.6" x14ac:dyDescent="0.3">
      <c r="A1056" s="10" t="s">
        <v>102</v>
      </c>
      <c r="B1056" s="7">
        <v>17</v>
      </c>
      <c r="C1056" s="10" t="s">
        <v>20</v>
      </c>
      <c r="D1056" s="22" t="s">
        <v>144</v>
      </c>
      <c r="E1056" s="5" t="s">
        <v>88</v>
      </c>
      <c r="F1056" s="6" t="s">
        <v>59</v>
      </c>
    </row>
    <row r="1057" spans="1:7" x14ac:dyDescent="0.3">
      <c r="A1057" t="s">
        <v>102</v>
      </c>
      <c r="B1057" s="7">
        <v>17</v>
      </c>
      <c r="C1057" t="s">
        <v>42</v>
      </c>
      <c r="D1057" s="15" t="s">
        <v>56</v>
      </c>
      <c r="E1057" s="3" t="s">
        <v>56</v>
      </c>
      <c r="F1057" s="3" t="s">
        <v>56</v>
      </c>
    </row>
    <row r="1058" spans="1:7" x14ac:dyDescent="0.3">
      <c r="A1058" t="s">
        <v>102</v>
      </c>
      <c r="B1058" s="7">
        <v>17</v>
      </c>
      <c r="C1058" t="s">
        <v>43</v>
      </c>
      <c r="D1058" s="15">
        <v>612482</v>
      </c>
      <c r="E1058" s="3">
        <v>459750</v>
      </c>
      <c r="F1058" s="3">
        <v>152732</v>
      </c>
    </row>
    <row r="1059" spans="1:7" x14ac:dyDescent="0.3">
      <c r="A1059" t="s">
        <v>102</v>
      </c>
      <c r="B1059" s="7">
        <v>17</v>
      </c>
      <c r="C1059" t="s">
        <v>44</v>
      </c>
      <c r="D1059" s="15">
        <v>768028</v>
      </c>
      <c r="E1059" s="3">
        <v>528369</v>
      </c>
      <c r="F1059" s="3">
        <v>239658</v>
      </c>
    </row>
    <row r="1060" spans="1:7" x14ac:dyDescent="0.3">
      <c r="A1060" t="s">
        <v>102</v>
      </c>
      <c r="B1060" s="7">
        <v>17</v>
      </c>
      <c r="C1060" t="s">
        <v>45</v>
      </c>
      <c r="D1060" s="15">
        <v>660503</v>
      </c>
      <c r="E1060" s="3">
        <v>581411</v>
      </c>
      <c r="F1060" s="3">
        <v>79092</v>
      </c>
    </row>
    <row r="1061" spans="1:7" x14ac:dyDescent="0.3">
      <c r="A1061" t="s">
        <v>102</v>
      </c>
      <c r="B1061" s="7">
        <v>17</v>
      </c>
      <c r="C1061" t="s">
        <v>200</v>
      </c>
      <c r="D1061" s="15" t="s">
        <v>56</v>
      </c>
    </row>
    <row r="1062" spans="1:7" x14ac:dyDescent="0.3">
      <c r="A1062" t="s">
        <v>102</v>
      </c>
      <c r="B1062" s="7">
        <v>17</v>
      </c>
      <c r="C1062" t="s">
        <v>201</v>
      </c>
      <c r="D1062" s="15" t="s">
        <v>56</v>
      </c>
    </row>
    <row r="1063" spans="1:7" ht="57.6" x14ac:dyDescent="0.3">
      <c r="A1063" s="10" t="s">
        <v>102</v>
      </c>
      <c r="B1063" s="7">
        <v>17</v>
      </c>
      <c r="C1063" s="10" t="s">
        <v>46</v>
      </c>
      <c r="D1063" s="22" t="s">
        <v>145</v>
      </c>
      <c r="E1063" s="5" t="s">
        <v>89</v>
      </c>
      <c r="F1063" s="6" t="s">
        <v>59</v>
      </c>
      <c r="G1063" s="8" t="s">
        <v>61</v>
      </c>
    </row>
    <row r="1064" spans="1:7" x14ac:dyDescent="0.3">
      <c r="A1064" t="s">
        <v>102</v>
      </c>
      <c r="B1064" s="7">
        <v>17</v>
      </c>
      <c r="C1064" t="s">
        <v>47</v>
      </c>
      <c r="D1064" s="15">
        <v>1966320</v>
      </c>
      <c r="E1064" s="3">
        <v>1629906</v>
      </c>
      <c r="F1064" s="3">
        <v>336414</v>
      </c>
      <c r="G1064" s="4">
        <v>0.2064</v>
      </c>
    </row>
    <row r="1065" spans="1:7" x14ac:dyDescent="0.3">
      <c r="A1065" t="s">
        <v>102</v>
      </c>
      <c r="B1065" s="7">
        <v>17</v>
      </c>
      <c r="C1065" t="s">
        <v>48</v>
      </c>
      <c r="D1065" s="15">
        <v>1016547</v>
      </c>
      <c r="E1065" s="3">
        <v>674908</v>
      </c>
      <c r="F1065" s="3">
        <v>341639</v>
      </c>
      <c r="G1065" s="4">
        <v>0.50619999999999998</v>
      </c>
    </row>
    <row r="1066" spans="1:7" x14ac:dyDescent="0.3">
      <c r="A1066" t="s">
        <v>106</v>
      </c>
      <c r="B1066" s="7">
        <v>18</v>
      </c>
      <c r="C1066" t="s">
        <v>197</v>
      </c>
      <c r="D1066" s="15">
        <v>4395786</v>
      </c>
    </row>
    <row r="1067" spans="1:7" x14ac:dyDescent="0.3">
      <c r="A1067" t="s">
        <v>106</v>
      </c>
      <c r="B1067" s="7">
        <v>18</v>
      </c>
      <c r="C1067" t="s">
        <v>213</v>
      </c>
    </row>
    <row r="1068" spans="1:7" x14ac:dyDescent="0.3">
      <c r="A1068" t="s">
        <v>106</v>
      </c>
      <c r="B1068" s="7">
        <v>18</v>
      </c>
      <c r="C1068" t="s">
        <v>24</v>
      </c>
    </row>
    <row r="1069" spans="1:7" x14ac:dyDescent="0.3">
      <c r="A1069" t="s">
        <v>106</v>
      </c>
      <c r="B1069" s="7">
        <v>18</v>
      </c>
      <c r="C1069" t="s">
        <v>25</v>
      </c>
    </row>
    <row r="1070" spans="1:7" x14ac:dyDescent="0.3">
      <c r="A1070" t="s">
        <v>106</v>
      </c>
      <c r="B1070" s="7">
        <v>18</v>
      </c>
      <c r="C1070" t="s">
        <v>26</v>
      </c>
      <c r="D1070" s="15">
        <v>802922</v>
      </c>
    </row>
    <row r="1071" spans="1:7" x14ac:dyDescent="0.3">
      <c r="A1071" t="s">
        <v>106</v>
      </c>
      <c r="B1071" s="7">
        <v>18</v>
      </c>
      <c r="C1071" t="s">
        <v>27</v>
      </c>
      <c r="D1071" s="15">
        <v>-227691</v>
      </c>
    </row>
    <row r="1072" spans="1:7" x14ac:dyDescent="0.3">
      <c r="A1072" t="s">
        <v>106</v>
      </c>
      <c r="B1072" s="7">
        <v>18</v>
      </c>
      <c r="C1072" t="s">
        <v>198</v>
      </c>
    </row>
    <row r="1073" spans="1:4" x14ac:dyDescent="0.3">
      <c r="A1073" t="s">
        <v>106</v>
      </c>
      <c r="B1073" s="7">
        <v>18</v>
      </c>
      <c r="C1073" t="s">
        <v>28</v>
      </c>
    </row>
    <row r="1074" spans="1:4" x14ac:dyDescent="0.3">
      <c r="A1074" t="s">
        <v>106</v>
      </c>
      <c r="B1074" s="7">
        <v>18</v>
      </c>
      <c r="C1074" t="s">
        <v>29</v>
      </c>
    </row>
    <row r="1075" spans="1:4" x14ac:dyDescent="0.3">
      <c r="A1075" t="s">
        <v>106</v>
      </c>
      <c r="B1075" s="7">
        <v>18</v>
      </c>
      <c r="C1075" t="s">
        <v>30</v>
      </c>
    </row>
    <row r="1076" spans="1:4" x14ac:dyDescent="0.3">
      <c r="A1076" t="s">
        <v>106</v>
      </c>
      <c r="B1076" s="7">
        <v>18</v>
      </c>
      <c r="C1076" t="s">
        <v>53</v>
      </c>
      <c r="D1076" s="15">
        <v>-153000</v>
      </c>
    </row>
    <row r="1077" spans="1:4" x14ac:dyDescent="0.3">
      <c r="A1077" t="s">
        <v>106</v>
      </c>
      <c r="B1077" s="7">
        <v>18</v>
      </c>
      <c r="C1077" t="s">
        <v>31</v>
      </c>
      <c r="D1077" s="15">
        <v>4818016</v>
      </c>
    </row>
    <row r="1078" spans="1:4" x14ac:dyDescent="0.3">
      <c r="A1078" t="s">
        <v>106</v>
      </c>
      <c r="B1078" s="7">
        <v>18</v>
      </c>
      <c r="C1078" t="s">
        <v>54</v>
      </c>
      <c r="D1078" s="15">
        <v>1500000</v>
      </c>
    </row>
    <row r="1079" spans="1:4" x14ac:dyDescent="0.3">
      <c r="A1079" t="s">
        <v>106</v>
      </c>
      <c r="B1079" s="7">
        <v>18</v>
      </c>
      <c r="C1079" t="s">
        <v>199</v>
      </c>
      <c r="D1079" s="15">
        <v>833042</v>
      </c>
    </row>
    <row r="1080" spans="1:4" x14ac:dyDescent="0.3">
      <c r="A1080" t="s">
        <v>106</v>
      </c>
      <c r="B1080" s="7">
        <v>18</v>
      </c>
      <c r="C1080" t="s">
        <v>32</v>
      </c>
      <c r="D1080" s="15">
        <v>5773</v>
      </c>
    </row>
    <row r="1081" spans="1:4" x14ac:dyDescent="0.3">
      <c r="A1081" t="s">
        <v>106</v>
      </c>
      <c r="B1081" s="7">
        <v>18</v>
      </c>
      <c r="C1081" t="s">
        <v>33</v>
      </c>
      <c r="D1081" s="15">
        <v>300</v>
      </c>
    </row>
    <row r="1082" spans="1:4" x14ac:dyDescent="0.3">
      <c r="A1082" t="s">
        <v>106</v>
      </c>
      <c r="B1082" s="7">
        <v>18</v>
      </c>
      <c r="C1082" t="s">
        <v>23</v>
      </c>
      <c r="D1082" s="15">
        <v>2339115</v>
      </c>
    </row>
    <row r="1083" spans="1:4" x14ac:dyDescent="0.3">
      <c r="A1083" t="s">
        <v>106</v>
      </c>
      <c r="B1083" s="7">
        <v>18</v>
      </c>
      <c r="C1083" t="s">
        <v>54</v>
      </c>
      <c r="D1083" s="15">
        <v>1500000</v>
      </c>
    </row>
    <row r="1084" spans="1:4" x14ac:dyDescent="0.3">
      <c r="A1084" t="s">
        <v>106</v>
      </c>
      <c r="B1084" s="7">
        <v>18</v>
      </c>
      <c r="C1084" t="s">
        <v>207</v>
      </c>
      <c r="D1084" s="15">
        <v>-153000</v>
      </c>
    </row>
    <row r="1085" spans="1:4" x14ac:dyDescent="0.3">
      <c r="A1085" t="s">
        <v>106</v>
      </c>
      <c r="B1085" s="7">
        <v>18</v>
      </c>
      <c r="C1085" t="s">
        <v>55</v>
      </c>
    </row>
    <row r="1086" spans="1:4" x14ac:dyDescent="0.3">
      <c r="A1086" t="s">
        <v>106</v>
      </c>
      <c r="B1086" s="7">
        <v>18</v>
      </c>
      <c r="C1086" t="s">
        <v>208</v>
      </c>
      <c r="D1086" s="15">
        <v>-153000</v>
      </c>
    </row>
    <row r="1087" spans="1:4" x14ac:dyDescent="0.3">
      <c r="A1087" t="s">
        <v>106</v>
      </c>
      <c r="B1087" s="7">
        <v>18</v>
      </c>
      <c r="C1087" t="s">
        <v>35</v>
      </c>
      <c r="D1087" s="15">
        <v>4818016</v>
      </c>
    </row>
    <row r="1088" spans="1:4" x14ac:dyDescent="0.3">
      <c r="A1088" t="s">
        <v>106</v>
      </c>
      <c r="B1088" s="7">
        <v>18</v>
      </c>
      <c r="C1088" t="s">
        <v>36</v>
      </c>
      <c r="D1088" s="15">
        <v>2339115</v>
      </c>
    </row>
    <row r="1089" spans="1:4" x14ac:dyDescent="0.3">
      <c r="A1089" t="s">
        <v>106</v>
      </c>
      <c r="B1089" s="7">
        <v>18</v>
      </c>
      <c r="C1089" t="s">
        <v>37</v>
      </c>
      <c r="D1089" s="15">
        <v>7157132</v>
      </c>
    </row>
    <row r="1090" spans="1:4" x14ac:dyDescent="0.3">
      <c r="A1090" t="s">
        <v>106</v>
      </c>
      <c r="B1090" s="7">
        <v>18</v>
      </c>
      <c r="C1090" t="s">
        <v>38</v>
      </c>
      <c r="D1090" s="20">
        <v>8.5900000000000004E-2</v>
      </c>
    </row>
    <row r="1091" spans="1:4" x14ac:dyDescent="0.3">
      <c r="A1091" t="s">
        <v>106</v>
      </c>
      <c r="B1091" s="7">
        <v>18</v>
      </c>
      <c r="C1091" t="s">
        <v>39</v>
      </c>
      <c r="D1091" s="20">
        <v>0.12759999999999999</v>
      </c>
    </row>
    <row r="1092" spans="1:4" x14ac:dyDescent="0.3">
      <c r="A1092" t="s">
        <v>106</v>
      </c>
      <c r="B1092" s="7">
        <v>18</v>
      </c>
      <c r="C1092" t="s">
        <v>194</v>
      </c>
      <c r="D1092" s="15">
        <v>50487408</v>
      </c>
    </row>
    <row r="1093" spans="1:4" x14ac:dyDescent="0.3">
      <c r="A1093" t="s">
        <v>106</v>
      </c>
      <c r="B1093" s="7">
        <v>18</v>
      </c>
      <c r="C1093" t="s">
        <v>181</v>
      </c>
      <c r="D1093" s="15">
        <v>3390916</v>
      </c>
    </row>
    <row r="1094" spans="1:4" x14ac:dyDescent="0.3">
      <c r="A1094" t="s">
        <v>106</v>
      </c>
      <c r="B1094" s="7">
        <v>18</v>
      </c>
      <c r="C1094" t="s">
        <v>182</v>
      </c>
      <c r="D1094" s="15">
        <v>89402</v>
      </c>
    </row>
    <row r="1095" spans="1:4" x14ac:dyDescent="0.3">
      <c r="A1095" t="s">
        <v>106</v>
      </c>
      <c r="B1095" s="7">
        <v>18</v>
      </c>
      <c r="C1095" t="s">
        <v>209</v>
      </c>
    </row>
    <row r="1096" spans="1:4" x14ac:dyDescent="0.3">
      <c r="A1096" t="s">
        <v>106</v>
      </c>
      <c r="B1096" s="7">
        <v>18</v>
      </c>
      <c r="C1096" t="s">
        <v>210</v>
      </c>
      <c r="D1096" s="15">
        <v>492618</v>
      </c>
    </row>
    <row r="1097" spans="1:4" x14ac:dyDescent="0.3">
      <c r="A1097" t="s">
        <v>106</v>
      </c>
      <c r="B1097" s="7">
        <v>18</v>
      </c>
      <c r="C1097" t="s">
        <v>211</v>
      </c>
      <c r="D1097" s="15">
        <v>1619032</v>
      </c>
    </row>
    <row r="1098" spans="1:4" x14ac:dyDescent="0.3">
      <c r="A1098" t="s">
        <v>106</v>
      </c>
      <c r="B1098" s="7">
        <v>18</v>
      </c>
      <c r="C1098" t="s">
        <v>203</v>
      </c>
      <c r="D1098" s="15">
        <v>56079375</v>
      </c>
    </row>
    <row r="1099" spans="1:4" x14ac:dyDescent="0.3">
      <c r="A1099" t="s">
        <v>106</v>
      </c>
      <c r="B1099" s="7">
        <v>18</v>
      </c>
      <c r="C1099" t="s">
        <v>184</v>
      </c>
      <c r="D1099" s="15" t="s">
        <v>56</v>
      </c>
    </row>
    <row r="1100" spans="1:4" x14ac:dyDescent="0.3">
      <c r="A1100" t="s">
        <v>106</v>
      </c>
      <c r="B1100" s="7">
        <v>18</v>
      </c>
      <c r="C1100" t="s">
        <v>185</v>
      </c>
      <c r="D1100" s="15" t="s">
        <v>56</v>
      </c>
    </row>
    <row r="1101" spans="1:4" x14ac:dyDescent="0.3">
      <c r="A1101" t="s">
        <v>106</v>
      </c>
      <c r="B1101" s="7">
        <v>18</v>
      </c>
      <c r="C1101" t="s">
        <v>186</v>
      </c>
      <c r="D1101" s="15">
        <v>1036180</v>
      </c>
    </row>
    <row r="1102" spans="1:4" x14ac:dyDescent="0.3">
      <c r="A1102" t="s">
        <v>106</v>
      </c>
      <c r="B1102" s="7">
        <v>18</v>
      </c>
      <c r="C1102" t="s">
        <v>187</v>
      </c>
      <c r="D1102" s="15">
        <v>7951078</v>
      </c>
    </row>
    <row r="1103" spans="1:4" x14ac:dyDescent="0.3">
      <c r="A1103" t="s">
        <v>106</v>
      </c>
      <c r="B1103" s="7">
        <v>18</v>
      </c>
      <c r="C1103" t="s">
        <v>188</v>
      </c>
      <c r="D1103" s="15">
        <v>17099268</v>
      </c>
    </row>
    <row r="1104" spans="1:4" x14ac:dyDescent="0.3">
      <c r="A1104" t="s">
        <v>106</v>
      </c>
      <c r="B1104" s="7">
        <v>18</v>
      </c>
      <c r="C1104" t="s">
        <v>189</v>
      </c>
      <c r="D1104" s="15">
        <v>3519862</v>
      </c>
    </row>
    <row r="1105" spans="1:4" x14ac:dyDescent="0.3">
      <c r="A1105" t="s">
        <v>106</v>
      </c>
      <c r="B1105" s="7">
        <v>18</v>
      </c>
      <c r="C1105" t="s">
        <v>217</v>
      </c>
      <c r="D1105" s="15">
        <v>262070</v>
      </c>
    </row>
    <row r="1106" spans="1:4" x14ac:dyDescent="0.3">
      <c r="A1106" t="s">
        <v>106</v>
      </c>
      <c r="B1106" s="7">
        <v>18</v>
      </c>
      <c r="C1106" t="s">
        <v>190</v>
      </c>
      <c r="D1106" s="15">
        <v>86045</v>
      </c>
    </row>
    <row r="1107" spans="1:4" x14ac:dyDescent="0.3">
      <c r="A1107" t="s">
        <v>106</v>
      </c>
      <c r="B1107" s="7">
        <v>18</v>
      </c>
      <c r="C1107" t="s">
        <v>191</v>
      </c>
      <c r="D1107" s="15">
        <v>9810807</v>
      </c>
    </row>
    <row r="1108" spans="1:4" x14ac:dyDescent="0.3">
      <c r="A1108" t="s">
        <v>106</v>
      </c>
      <c r="B1108" s="7">
        <v>18</v>
      </c>
      <c r="C1108" t="s">
        <v>192</v>
      </c>
      <c r="D1108" s="15">
        <v>4587417</v>
      </c>
    </row>
    <row r="1109" spans="1:4" ht="57.6" x14ac:dyDescent="0.3">
      <c r="A1109" t="s">
        <v>106</v>
      </c>
      <c r="B1109" s="7">
        <v>18</v>
      </c>
      <c r="C1109" s="17" t="s">
        <v>218</v>
      </c>
      <c r="D1109" s="15">
        <v>139880</v>
      </c>
    </row>
    <row r="1110" spans="1:4" x14ac:dyDescent="0.3">
      <c r="A1110" t="s">
        <v>106</v>
      </c>
      <c r="B1110" s="7">
        <v>18</v>
      </c>
      <c r="C1110" t="s">
        <v>219</v>
      </c>
      <c r="D1110" s="15">
        <v>520321</v>
      </c>
    </row>
    <row r="1111" spans="1:4" x14ac:dyDescent="0.3">
      <c r="A1111" t="s">
        <v>106</v>
      </c>
      <c r="B1111" s="7">
        <v>18</v>
      </c>
      <c r="C1111" t="s">
        <v>220</v>
      </c>
      <c r="D1111" s="15">
        <v>1354453</v>
      </c>
    </row>
    <row r="1112" spans="1:4" x14ac:dyDescent="0.3">
      <c r="A1112" t="s">
        <v>106</v>
      </c>
      <c r="B1112" s="7">
        <v>18</v>
      </c>
      <c r="C1112" t="s">
        <v>215</v>
      </c>
      <c r="D1112" s="15">
        <v>93137</v>
      </c>
    </row>
    <row r="1113" spans="1:4" x14ac:dyDescent="0.3">
      <c r="A1113" t="s">
        <v>106</v>
      </c>
      <c r="B1113" s="7">
        <v>18</v>
      </c>
      <c r="C1113" t="s">
        <v>216</v>
      </c>
      <c r="D1113" s="15">
        <v>56018</v>
      </c>
    </row>
    <row r="1114" spans="1:4" x14ac:dyDescent="0.3">
      <c r="A1114" t="s">
        <v>106</v>
      </c>
      <c r="B1114" s="7">
        <v>18</v>
      </c>
      <c r="C1114" t="s">
        <v>41</v>
      </c>
      <c r="D1114" s="15">
        <v>3423855</v>
      </c>
    </row>
    <row r="1115" spans="1:4" x14ac:dyDescent="0.3">
      <c r="A1115" t="s">
        <v>106</v>
      </c>
      <c r="B1115" s="7">
        <v>18</v>
      </c>
      <c r="C1115" t="s">
        <v>193</v>
      </c>
      <c r="D1115" s="15">
        <v>547018</v>
      </c>
    </row>
    <row r="1116" spans="1:4" x14ac:dyDescent="0.3">
      <c r="A1116" t="s">
        <v>106</v>
      </c>
      <c r="B1116" s="7">
        <v>18</v>
      </c>
      <c r="C1116" t="s">
        <v>194</v>
      </c>
      <c r="D1116" s="15">
        <v>50487408</v>
      </c>
    </row>
    <row r="1117" spans="1:4" x14ac:dyDescent="0.3">
      <c r="A1117" t="s">
        <v>106</v>
      </c>
      <c r="B1117" s="7">
        <v>18</v>
      </c>
      <c r="C1117" t="s">
        <v>181</v>
      </c>
      <c r="D1117" s="15">
        <v>3390916</v>
      </c>
    </row>
    <row r="1118" spans="1:4" x14ac:dyDescent="0.3">
      <c r="A1118" t="s">
        <v>106</v>
      </c>
      <c r="B1118" s="7">
        <v>18</v>
      </c>
      <c r="C1118" t="s">
        <v>182</v>
      </c>
      <c r="D1118" s="15">
        <v>89402</v>
      </c>
    </row>
    <row r="1119" spans="1:4" x14ac:dyDescent="0.3">
      <c r="A1119" t="s">
        <v>106</v>
      </c>
      <c r="B1119" s="7">
        <v>18</v>
      </c>
      <c r="C1119" t="s">
        <v>209</v>
      </c>
      <c r="D1119" s="20">
        <v>0</v>
      </c>
    </row>
    <row r="1120" spans="1:4" x14ac:dyDescent="0.3">
      <c r="A1120" t="s">
        <v>106</v>
      </c>
      <c r="B1120" s="7">
        <v>18</v>
      </c>
      <c r="C1120" t="s">
        <v>210</v>
      </c>
      <c r="D1120" s="15">
        <v>492618</v>
      </c>
    </row>
    <row r="1121" spans="1:6" x14ac:dyDescent="0.3">
      <c r="A1121" t="s">
        <v>106</v>
      </c>
      <c r="B1121" s="7">
        <v>18</v>
      </c>
      <c r="C1121" t="s">
        <v>211</v>
      </c>
      <c r="D1121" s="15">
        <v>1619032</v>
      </c>
    </row>
    <row r="1122" spans="1:6" x14ac:dyDescent="0.3">
      <c r="A1122" t="s">
        <v>106</v>
      </c>
      <c r="B1122" s="7">
        <v>18</v>
      </c>
      <c r="C1122" t="s">
        <v>203</v>
      </c>
      <c r="D1122" s="15">
        <v>56079375</v>
      </c>
    </row>
    <row r="1123" spans="1:6" x14ac:dyDescent="0.3">
      <c r="A1123" t="s">
        <v>106</v>
      </c>
      <c r="B1123" s="7">
        <v>18</v>
      </c>
      <c r="C1123" t="s">
        <v>21</v>
      </c>
      <c r="D1123" s="15">
        <v>7157131.5599999996</v>
      </c>
    </row>
    <row r="1124" spans="1:6" x14ac:dyDescent="0.3">
      <c r="A1124" t="s">
        <v>106</v>
      </c>
      <c r="B1124" s="7">
        <v>18</v>
      </c>
      <c r="C1124" t="s">
        <v>22</v>
      </c>
      <c r="D1124" s="20">
        <v>0.12759999999999999</v>
      </c>
    </row>
    <row r="1125" spans="1:6" x14ac:dyDescent="0.3">
      <c r="A1125" s="10" t="s">
        <v>106</v>
      </c>
      <c r="B1125" s="7">
        <v>18</v>
      </c>
      <c r="C1125" s="10" t="s">
        <v>20</v>
      </c>
      <c r="D1125" s="21" t="s">
        <v>57</v>
      </c>
      <c r="E1125" s="6" t="s">
        <v>64</v>
      </c>
      <c r="F1125" s="6" t="s">
        <v>58</v>
      </c>
    </row>
    <row r="1126" spans="1:6" x14ac:dyDescent="0.3">
      <c r="A1126" t="s">
        <v>106</v>
      </c>
      <c r="B1126" s="7">
        <v>18</v>
      </c>
      <c r="C1126" t="s">
        <v>42</v>
      </c>
      <c r="D1126" s="15" t="s">
        <v>56</v>
      </c>
      <c r="E1126" s="3" t="s">
        <v>56</v>
      </c>
      <c r="F1126" s="3" t="s">
        <v>56</v>
      </c>
    </row>
    <row r="1127" spans="1:6" x14ac:dyDescent="0.3">
      <c r="A1127" t="s">
        <v>106</v>
      </c>
      <c r="B1127" s="7">
        <v>18</v>
      </c>
      <c r="C1127" t="s">
        <v>43</v>
      </c>
      <c r="D1127" s="15">
        <v>670676</v>
      </c>
      <c r="E1127" s="3">
        <v>161075</v>
      </c>
      <c r="F1127" s="3">
        <v>509601</v>
      </c>
    </row>
    <row r="1128" spans="1:6" x14ac:dyDescent="0.3">
      <c r="A1128" t="s">
        <v>106</v>
      </c>
      <c r="B1128" s="7">
        <v>18</v>
      </c>
      <c r="C1128" t="s">
        <v>44</v>
      </c>
      <c r="D1128" s="15">
        <v>791831</v>
      </c>
      <c r="E1128" s="3">
        <v>382213</v>
      </c>
      <c r="F1128" s="3">
        <v>409618</v>
      </c>
    </row>
    <row r="1129" spans="1:6" x14ac:dyDescent="0.3">
      <c r="A1129" t="s">
        <v>106</v>
      </c>
      <c r="B1129" s="7">
        <v>18</v>
      </c>
      <c r="C1129" t="s">
        <v>45</v>
      </c>
      <c r="D1129" s="15">
        <v>1204358</v>
      </c>
      <c r="E1129" s="3">
        <v>1114212</v>
      </c>
      <c r="F1129" s="3">
        <v>90146</v>
      </c>
    </row>
    <row r="1130" spans="1:6" x14ac:dyDescent="0.3">
      <c r="A1130" t="s">
        <v>106</v>
      </c>
      <c r="B1130" s="7">
        <v>18</v>
      </c>
      <c r="C1130" t="s">
        <v>195</v>
      </c>
      <c r="D1130" s="20">
        <v>4.8800000000000003E-2</v>
      </c>
    </row>
    <row r="1131" spans="1:6" x14ac:dyDescent="0.3">
      <c r="A1131" t="s">
        <v>106</v>
      </c>
      <c r="B1131" s="7">
        <v>18</v>
      </c>
      <c r="C1131" t="s">
        <v>196</v>
      </c>
      <c r="D1131" s="20">
        <v>1.9400000000000001E-2</v>
      </c>
    </row>
    <row r="1132" spans="1:6" ht="57.6" x14ac:dyDescent="0.3">
      <c r="A1132" s="10" t="s">
        <v>106</v>
      </c>
      <c r="B1132" s="7">
        <v>18</v>
      </c>
      <c r="C1132" s="10" t="s">
        <v>20</v>
      </c>
      <c r="D1132" s="22" t="s">
        <v>146</v>
      </c>
      <c r="E1132" s="5" t="s">
        <v>90</v>
      </c>
      <c r="F1132" s="6" t="s">
        <v>59</v>
      </c>
    </row>
    <row r="1133" spans="1:6" x14ac:dyDescent="0.3">
      <c r="A1133" t="s">
        <v>106</v>
      </c>
      <c r="B1133" s="7">
        <v>18</v>
      </c>
      <c r="C1133" t="s">
        <v>42</v>
      </c>
      <c r="D1133" s="15" t="s">
        <v>56</v>
      </c>
      <c r="E1133" s="3" t="s">
        <v>56</v>
      </c>
      <c r="F1133" s="3" t="s">
        <v>56</v>
      </c>
    </row>
    <row r="1134" spans="1:6" x14ac:dyDescent="0.3">
      <c r="A1134" t="s">
        <v>106</v>
      </c>
      <c r="B1134" s="7">
        <v>18</v>
      </c>
      <c r="C1134" t="s">
        <v>43</v>
      </c>
      <c r="D1134" s="15">
        <v>670676</v>
      </c>
      <c r="E1134" s="3">
        <v>612482</v>
      </c>
      <c r="F1134" s="3">
        <v>58194</v>
      </c>
    </row>
    <row r="1135" spans="1:6" x14ac:dyDescent="0.3">
      <c r="A1135" t="s">
        <v>106</v>
      </c>
      <c r="B1135" s="7">
        <v>18</v>
      </c>
      <c r="C1135" t="s">
        <v>44</v>
      </c>
      <c r="D1135" s="15">
        <v>791831</v>
      </c>
      <c r="E1135" s="3">
        <v>768028</v>
      </c>
      <c r="F1135" s="3">
        <v>23803</v>
      </c>
    </row>
    <row r="1136" spans="1:6" x14ac:dyDescent="0.3">
      <c r="A1136" t="s">
        <v>106</v>
      </c>
      <c r="B1136" s="7">
        <v>18</v>
      </c>
      <c r="C1136" t="s">
        <v>45</v>
      </c>
      <c r="D1136" s="15">
        <v>1204358</v>
      </c>
      <c r="E1136" s="3">
        <v>660503</v>
      </c>
      <c r="F1136" s="3">
        <v>543855</v>
      </c>
    </row>
    <row r="1137" spans="1:7" x14ac:dyDescent="0.3">
      <c r="A1137" t="s">
        <v>106</v>
      </c>
      <c r="B1137" s="7">
        <v>18</v>
      </c>
      <c r="C1137" t="s">
        <v>200</v>
      </c>
      <c r="D1137" s="15" t="s">
        <v>56</v>
      </c>
    </row>
    <row r="1138" spans="1:7" x14ac:dyDescent="0.3">
      <c r="A1138" t="s">
        <v>106</v>
      </c>
      <c r="B1138" s="7">
        <v>18</v>
      </c>
      <c r="C1138" t="s">
        <v>201</v>
      </c>
      <c r="D1138" s="15" t="s">
        <v>56</v>
      </c>
    </row>
    <row r="1139" spans="1:7" ht="57.6" x14ac:dyDescent="0.3">
      <c r="A1139" s="10" t="s">
        <v>106</v>
      </c>
      <c r="B1139" s="7">
        <v>18</v>
      </c>
      <c r="C1139" s="10" t="s">
        <v>46</v>
      </c>
      <c r="D1139" s="22" t="s">
        <v>147</v>
      </c>
      <c r="E1139" s="5" t="s">
        <v>91</v>
      </c>
      <c r="F1139" s="6" t="s">
        <v>59</v>
      </c>
      <c r="G1139" s="8" t="s">
        <v>61</v>
      </c>
    </row>
    <row r="1140" spans="1:7" x14ac:dyDescent="0.3">
      <c r="A1140" t="s">
        <v>106</v>
      </c>
      <c r="B1140" s="7">
        <v>18</v>
      </c>
      <c r="C1140" t="s">
        <v>47</v>
      </c>
      <c r="D1140" s="15">
        <v>2603412</v>
      </c>
      <c r="E1140" s="3">
        <v>1966320</v>
      </c>
      <c r="F1140" s="3">
        <v>637092</v>
      </c>
      <c r="G1140" s="4">
        <v>0.32400000000000001</v>
      </c>
    </row>
    <row r="1141" spans="1:7" x14ac:dyDescent="0.3">
      <c r="A1141" t="s">
        <v>106</v>
      </c>
      <c r="B1141" s="7">
        <v>18</v>
      </c>
      <c r="C1141" t="s">
        <v>48</v>
      </c>
      <c r="D1141" s="15">
        <v>1012771</v>
      </c>
      <c r="E1141" s="3">
        <v>1016547</v>
      </c>
      <c r="F1141" s="3">
        <v>-3776</v>
      </c>
      <c r="G1141" s="4">
        <v>-3.7000000000000002E-3</v>
      </c>
    </row>
    <row r="1142" spans="1:7" x14ac:dyDescent="0.3">
      <c r="A1142" t="s">
        <v>115</v>
      </c>
      <c r="B1142" s="7">
        <v>19</v>
      </c>
      <c r="C1142" t="s">
        <v>197</v>
      </c>
      <c r="D1142" s="15">
        <v>4395786</v>
      </c>
    </row>
    <row r="1143" spans="1:7" x14ac:dyDescent="0.3">
      <c r="A1143" t="s">
        <v>115</v>
      </c>
      <c r="B1143" s="7">
        <v>19</v>
      </c>
      <c r="C1143" t="s">
        <v>213</v>
      </c>
    </row>
    <row r="1144" spans="1:7" x14ac:dyDescent="0.3">
      <c r="A1144" t="s">
        <v>115</v>
      </c>
      <c r="B1144" s="7">
        <v>19</v>
      </c>
      <c r="C1144" t="s">
        <v>24</v>
      </c>
    </row>
    <row r="1145" spans="1:7" x14ac:dyDescent="0.3">
      <c r="A1145" t="s">
        <v>115</v>
      </c>
      <c r="B1145" s="7">
        <v>19</v>
      </c>
      <c r="C1145" t="s">
        <v>25</v>
      </c>
    </row>
    <row r="1146" spans="1:7" x14ac:dyDescent="0.3">
      <c r="A1146" t="s">
        <v>115</v>
      </c>
      <c r="B1146" s="7">
        <v>19</v>
      </c>
      <c r="C1146" t="s">
        <v>26</v>
      </c>
      <c r="D1146" s="15">
        <v>802922</v>
      </c>
    </row>
    <row r="1147" spans="1:7" x14ac:dyDescent="0.3">
      <c r="A1147" t="s">
        <v>115</v>
      </c>
      <c r="B1147" s="7">
        <v>19</v>
      </c>
      <c r="C1147" t="s">
        <v>27</v>
      </c>
      <c r="D1147" s="15">
        <v>-256172</v>
      </c>
    </row>
    <row r="1148" spans="1:7" x14ac:dyDescent="0.3">
      <c r="A1148" t="s">
        <v>115</v>
      </c>
      <c r="B1148" s="7">
        <v>19</v>
      </c>
      <c r="C1148" t="s">
        <v>198</v>
      </c>
    </row>
    <row r="1149" spans="1:7" x14ac:dyDescent="0.3">
      <c r="A1149" t="s">
        <v>115</v>
      </c>
      <c r="B1149" s="7">
        <v>19</v>
      </c>
      <c r="C1149" t="s">
        <v>28</v>
      </c>
    </row>
    <row r="1150" spans="1:7" x14ac:dyDescent="0.3">
      <c r="A1150" t="s">
        <v>115</v>
      </c>
      <c r="B1150" s="7">
        <v>19</v>
      </c>
      <c r="C1150" t="s">
        <v>29</v>
      </c>
    </row>
    <row r="1151" spans="1:7" x14ac:dyDescent="0.3">
      <c r="A1151" t="s">
        <v>115</v>
      </c>
      <c r="B1151" s="7">
        <v>19</v>
      </c>
      <c r="C1151" t="s">
        <v>30</v>
      </c>
    </row>
    <row r="1152" spans="1:7" x14ac:dyDescent="0.3">
      <c r="A1152" t="s">
        <v>115</v>
      </c>
      <c r="B1152" s="7">
        <v>19</v>
      </c>
      <c r="C1152" t="s">
        <v>53</v>
      </c>
      <c r="D1152" s="15">
        <v>-153000</v>
      </c>
    </row>
    <row r="1153" spans="1:4" x14ac:dyDescent="0.3">
      <c r="A1153" t="s">
        <v>115</v>
      </c>
      <c r="B1153" s="7">
        <v>19</v>
      </c>
      <c r="C1153" t="s">
        <v>31</v>
      </c>
      <c r="D1153" s="15">
        <v>4789536</v>
      </c>
    </row>
    <row r="1154" spans="1:4" x14ac:dyDescent="0.3">
      <c r="A1154" t="s">
        <v>115</v>
      </c>
      <c r="B1154" s="7">
        <v>19</v>
      </c>
      <c r="C1154" t="s">
        <v>54</v>
      </c>
      <c r="D1154" s="15">
        <v>1500000</v>
      </c>
    </row>
    <row r="1155" spans="1:4" x14ac:dyDescent="0.3">
      <c r="A1155" t="s">
        <v>115</v>
      </c>
      <c r="B1155" s="7">
        <v>19</v>
      </c>
      <c r="C1155" t="s">
        <v>199</v>
      </c>
      <c r="D1155" s="15">
        <v>627714</v>
      </c>
    </row>
    <row r="1156" spans="1:4" x14ac:dyDescent="0.3">
      <c r="A1156" t="s">
        <v>115</v>
      </c>
      <c r="B1156" s="7">
        <v>19</v>
      </c>
      <c r="C1156" t="s">
        <v>32</v>
      </c>
      <c r="D1156" s="15">
        <v>5773</v>
      </c>
    </row>
    <row r="1157" spans="1:4" x14ac:dyDescent="0.3">
      <c r="A1157" t="s">
        <v>115</v>
      </c>
      <c r="B1157" s="7">
        <v>19</v>
      </c>
      <c r="C1157" t="s">
        <v>33</v>
      </c>
      <c r="D1157" s="15">
        <v>300</v>
      </c>
    </row>
    <row r="1158" spans="1:4" x14ac:dyDescent="0.3">
      <c r="A1158" t="s">
        <v>115</v>
      </c>
      <c r="B1158" s="7">
        <v>19</v>
      </c>
      <c r="C1158" t="s">
        <v>23</v>
      </c>
      <c r="D1158" s="15">
        <v>2133787</v>
      </c>
    </row>
    <row r="1159" spans="1:4" x14ac:dyDescent="0.3">
      <c r="A1159" t="s">
        <v>115</v>
      </c>
      <c r="B1159" s="7">
        <v>19</v>
      </c>
      <c r="C1159" t="s">
        <v>54</v>
      </c>
      <c r="D1159" s="15">
        <v>1500000</v>
      </c>
    </row>
    <row r="1160" spans="1:4" x14ac:dyDescent="0.3">
      <c r="A1160" t="s">
        <v>115</v>
      </c>
      <c r="B1160" s="7">
        <v>19</v>
      </c>
      <c r="C1160" t="s">
        <v>207</v>
      </c>
      <c r="D1160" s="15">
        <v>-153000</v>
      </c>
    </row>
    <row r="1161" spans="1:4" x14ac:dyDescent="0.3">
      <c r="A1161" t="s">
        <v>115</v>
      </c>
      <c r="B1161" s="7">
        <v>19</v>
      </c>
      <c r="C1161" t="s">
        <v>55</v>
      </c>
    </row>
    <row r="1162" spans="1:4" x14ac:dyDescent="0.3">
      <c r="A1162" t="s">
        <v>115</v>
      </c>
      <c r="B1162" s="7">
        <v>19</v>
      </c>
      <c r="C1162" t="s">
        <v>208</v>
      </c>
      <c r="D1162" s="15">
        <v>-153000</v>
      </c>
    </row>
    <row r="1163" spans="1:4" x14ac:dyDescent="0.3">
      <c r="A1163" t="s">
        <v>115</v>
      </c>
      <c r="B1163" s="7">
        <v>19</v>
      </c>
      <c r="C1163" t="s">
        <v>35</v>
      </c>
      <c r="D1163" s="15">
        <v>4789536</v>
      </c>
    </row>
    <row r="1164" spans="1:4" x14ac:dyDescent="0.3">
      <c r="A1164" t="s">
        <v>115</v>
      </c>
      <c r="B1164" s="7">
        <v>19</v>
      </c>
      <c r="C1164" t="s">
        <v>36</v>
      </c>
      <c r="D1164" s="15">
        <v>2133787</v>
      </c>
    </row>
    <row r="1165" spans="1:4" x14ac:dyDescent="0.3">
      <c r="A1165" t="s">
        <v>115</v>
      </c>
      <c r="B1165" s="7">
        <v>19</v>
      </c>
      <c r="C1165" t="s">
        <v>37</v>
      </c>
      <c r="D1165" s="15">
        <v>6923323</v>
      </c>
    </row>
    <row r="1166" spans="1:4" x14ac:dyDescent="0.3">
      <c r="A1166" t="s">
        <v>115</v>
      </c>
      <c r="B1166" s="7">
        <v>19</v>
      </c>
      <c r="C1166" t="s">
        <v>38</v>
      </c>
      <c r="D1166" s="20">
        <v>8.5800000000000001E-2</v>
      </c>
    </row>
    <row r="1167" spans="1:4" x14ac:dyDescent="0.3">
      <c r="A1167" t="s">
        <v>115</v>
      </c>
      <c r="B1167" s="7">
        <v>19</v>
      </c>
      <c r="C1167" t="s">
        <v>39</v>
      </c>
      <c r="D1167" s="20">
        <v>0.124</v>
      </c>
    </row>
    <row r="1168" spans="1:4" x14ac:dyDescent="0.3">
      <c r="A1168" t="s">
        <v>115</v>
      </c>
      <c r="B1168" s="7">
        <v>19</v>
      </c>
      <c r="C1168" t="s">
        <v>194</v>
      </c>
      <c r="D1168" s="15">
        <v>50217144</v>
      </c>
    </row>
    <row r="1169" spans="1:4" x14ac:dyDescent="0.3">
      <c r="A1169" t="s">
        <v>115</v>
      </c>
      <c r="B1169" s="7">
        <v>19</v>
      </c>
      <c r="C1169" t="s">
        <v>181</v>
      </c>
      <c r="D1169" s="15">
        <v>3390916</v>
      </c>
    </row>
    <row r="1170" spans="1:4" x14ac:dyDescent="0.3">
      <c r="A1170" t="s">
        <v>115</v>
      </c>
      <c r="B1170" s="7">
        <v>19</v>
      </c>
      <c r="C1170" t="s">
        <v>182</v>
      </c>
      <c r="D1170" s="15">
        <v>120871</v>
      </c>
    </row>
    <row r="1171" spans="1:4" x14ac:dyDescent="0.3">
      <c r="A1171" t="s">
        <v>115</v>
      </c>
      <c r="B1171" s="7">
        <v>19</v>
      </c>
      <c r="C1171" t="s">
        <v>209</v>
      </c>
    </row>
    <row r="1172" spans="1:4" x14ac:dyDescent="0.3">
      <c r="A1172" t="s">
        <v>115</v>
      </c>
      <c r="B1172" s="7">
        <v>19</v>
      </c>
      <c r="C1172" t="s">
        <v>210</v>
      </c>
      <c r="D1172" s="15">
        <v>492618</v>
      </c>
    </row>
    <row r="1173" spans="1:4" x14ac:dyDescent="0.3">
      <c r="A1173" t="s">
        <v>115</v>
      </c>
      <c r="B1173" s="7">
        <v>19</v>
      </c>
      <c r="C1173" t="s">
        <v>211</v>
      </c>
      <c r="D1173" s="15">
        <v>1611868</v>
      </c>
    </row>
    <row r="1174" spans="1:4" x14ac:dyDescent="0.3">
      <c r="A1174" t="s">
        <v>115</v>
      </c>
      <c r="B1174" s="7">
        <v>19</v>
      </c>
      <c r="C1174" t="s">
        <v>203</v>
      </c>
      <c r="D1174" s="15">
        <v>55833417</v>
      </c>
    </row>
    <row r="1175" spans="1:4" x14ac:dyDescent="0.3">
      <c r="A1175" t="s">
        <v>115</v>
      </c>
      <c r="B1175" s="7">
        <v>19</v>
      </c>
      <c r="C1175" t="s">
        <v>184</v>
      </c>
      <c r="D1175" s="15" t="s">
        <v>56</v>
      </c>
    </row>
    <row r="1176" spans="1:4" x14ac:dyDescent="0.3">
      <c r="A1176" t="s">
        <v>115</v>
      </c>
      <c r="B1176" s="7">
        <v>19</v>
      </c>
      <c r="C1176" t="s">
        <v>185</v>
      </c>
      <c r="D1176" s="15" t="s">
        <v>56</v>
      </c>
    </row>
    <row r="1177" spans="1:4" x14ac:dyDescent="0.3">
      <c r="A1177" t="s">
        <v>115</v>
      </c>
      <c r="B1177" s="7">
        <v>19</v>
      </c>
      <c r="C1177" t="s">
        <v>186</v>
      </c>
      <c r="D1177" s="15">
        <v>1135212</v>
      </c>
    </row>
    <row r="1178" spans="1:4" x14ac:dyDescent="0.3">
      <c r="A1178" t="s">
        <v>115</v>
      </c>
      <c r="B1178" s="7">
        <v>19</v>
      </c>
      <c r="C1178" t="s">
        <v>187</v>
      </c>
      <c r="D1178" s="15">
        <v>5706638</v>
      </c>
    </row>
    <row r="1179" spans="1:4" x14ac:dyDescent="0.3">
      <c r="A1179" t="s">
        <v>115</v>
      </c>
      <c r="B1179" s="7">
        <v>19</v>
      </c>
      <c r="C1179" t="s">
        <v>188</v>
      </c>
      <c r="D1179" s="18">
        <v>18512445</v>
      </c>
    </row>
    <row r="1180" spans="1:4" x14ac:dyDescent="0.3">
      <c r="A1180" t="s">
        <v>115</v>
      </c>
      <c r="B1180" s="7">
        <v>19</v>
      </c>
      <c r="C1180" t="s">
        <v>189</v>
      </c>
      <c r="D1180" s="15">
        <v>3566633</v>
      </c>
    </row>
    <row r="1181" spans="1:4" x14ac:dyDescent="0.3">
      <c r="A1181" t="s">
        <v>115</v>
      </c>
      <c r="B1181" s="7">
        <v>19</v>
      </c>
      <c r="C1181" t="s">
        <v>217</v>
      </c>
      <c r="D1181" s="15">
        <v>307268</v>
      </c>
    </row>
    <row r="1182" spans="1:4" x14ac:dyDescent="0.3">
      <c r="A1182" t="s">
        <v>115</v>
      </c>
      <c r="B1182" s="7">
        <v>19</v>
      </c>
      <c r="C1182" t="s">
        <v>190</v>
      </c>
      <c r="D1182" s="15">
        <v>88136</v>
      </c>
    </row>
    <row r="1183" spans="1:4" x14ac:dyDescent="0.3">
      <c r="A1183" t="s">
        <v>115</v>
      </c>
      <c r="B1183" s="7">
        <v>19</v>
      </c>
      <c r="C1183" t="s">
        <v>191</v>
      </c>
      <c r="D1183" s="15">
        <v>11453709</v>
      </c>
    </row>
    <row r="1184" spans="1:4" x14ac:dyDescent="0.3">
      <c r="A1184" t="s">
        <v>115</v>
      </c>
      <c r="B1184" s="7">
        <v>19</v>
      </c>
      <c r="C1184" t="s">
        <v>192</v>
      </c>
      <c r="D1184" s="15">
        <v>3337489</v>
      </c>
    </row>
    <row r="1185" spans="1:4" ht="57.6" x14ac:dyDescent="0.3">
      <c r="A1185" t="s">
        <v>115</v>
      </c>
      <c r="B1185" s="7">
        <v>19</v>
      </c>
      <c r="C1185" s="17" t="s">
        <v>221</v>
      </c>
      <c r="D1185" s="15">
        <v>133475</v>
      </c>
    </row>
    <row r="1186" spans="1:4" x14ac:dyDescent="0.3">
      <c r="A1186" t="s">
        <v>115</v>
      </c>
      <c r="B1186" s="7">
        <v>19</v>
      </c>
      <c r="C1186" t="s">
        <v>219</v>
      </c>
      <c r="D1186" s="15">
        <v>541188</v>
      </c>
    </row>
    <row r="1187" spans="1:4" x14ac:dyDescent="0.3">
      <c r="A1187" t="s">
        <v>115</v>
      </c>
      <c r="B1187" s="7">
        <v>19</v>
      </c>
      <c r="C1187" t="s">
        <v>220</v>
      </c>
      <c r="D1187" s="15">
        <v>1411457</v>
      </c>
    </row>
    <row r="1188" spans="1:4" x14ac:dyDescent="0.3">
      <c r="A1188" t="s">
        <v>115</v>
      </c>
      <c r="B1188" s="7">
        <v>19</v>
      </c>
      <c r="C1188" t="s">
        <v>215</v>
      </c>
      <c r="D1188" s="15">
        <v>80070</v>
      </c>
    </row>
    <row r="1189" spans="1:4" x14ac:dyDescent="0.3">
      <c r="A1189" t="s">
        <v>115</v>
      </c>
      <c r="B1189" s="7">
        <v>19</v>
      </c>
      <c r="C1189" t="s">
        <v>216</v>
      </c>
      <c r="D1189" s="15">
        <v>47324</v>
      </c>
    </row>
    <row r="1190" spans="1:4" x14ac:dyDescent="0.3">
      <c r="A1190" t="s">
        <v>115</v>
      </c>
      <c r="B1190" s="7">
        <v>19</v>
      </c>
      <c r="C1190" t="s">
        <v>41</v>
      </c>
      <c r="D1190" s="15">
        <v>3412413</v>
      </c>
    </row>
    <row r="1191" spans="1:4" x14ac:dyDescent="0.3">
      <c r="A1191" t="s">
        <v>115</v>
      </c>
      <c r="B1191" s="7">
        <v>19</v>
      </c>
      <c r="C1191" t="s">
        <v>193</v>
      </c>
      <c r="D1191" s="15">
        <v>483687</v>
      </c>
    </row>
    <row r="1192" spans="1:4" x14ac:dyDescent="0.3">
      <c r="A1192" t="s">
        <v>115</v>
      </c>
      <c r="B1192" s="7">
        <v>19</v>
      </c>
      <c r="C1192" t="s">
        <v>194</v>
      </c>
      <c r="D1192" s="15">
        <v>50217144</v>
      </c>
    </row>
    <row r="1193" spans="1:4" x14ac:dyDescent="0.3">
      <c r="A1193" t="s">
        <v>115</v>
      </c>
      <c r="B1193" s="7">
        <v>19</v>
      </c>
      <c r="C1193" t="s">
        <v>181</v>
      </c>
      <c r="D1193" s="15">
        <v>3390916</v>
      </c>
    </row>
    <row r="1194" spans="1:4" x14ac:dyDescent="0.3">
      <c r="A1194" t="s">
        <v>115</v>
      </c>
      <c r="B1194" s="7">
        <v>19</v>
      </c>
      <c r="C1194" t="s">
        <v>182</v>
      </c>
      <c r="D1194" s="15">
        <v>120871</v>
      </c>
    </row>
    <row r="1195" spans="1:4" x14ac:dyDescent="0.3">
      <c r="A1195" t="s">
        <v>115</v>
      </c>
      <c r="B1195" s="7">
        <v>19</v>
      </c>
      <c r="C1195" t="s">
        <v>209</v>
      </c>
      <c r="D1195" s="20">
        <v>0</v>
      </c>
    </row>
    <row r="1196" spans="1:4" x14ac:dyDescent="0.3">
      <c r="A1196" t="s">
        <v>115</v>
      </c>
      <c r="B1196" s="7">
        <v>19</v>
      </c>
      <c r="C1196" t="s">
        <v>210</v>
      </c>
      <c r="D1196" s="15">
        <v>492618</v>
      </c>
    </row>
    <row r="1197" spans="1:4" x14ac:dyDescent="0.3">
      <c r="A1197" t="s">
        <v>115</v>
      </c>
      <c r="B1197" s="7">
        <v>19</v>
      </c>
      <c r="C1197" t="s">
        <v>211</v>
      </c>
      <c r="D1197" s="15">
        <v>1611868</v>
      </c>
    </row>
    <row r="1198" spans="1:4" x14ac:dyDescent="0.3">
      <c r="A1198" t="s">
        <v>115</v>
      </c>
      <c r="B1198" s="7">
        <v>19</v>
      </c>
      <c r="C1198" t="s">
        <v>203</v>
      </c>
      <c r="D1198" s="15">
        <v>55833417</v>
      </c>
    </row>
    <row r="1199" spans="1:4" x14ac:dyDescent="0.3">
      <c r="A1199" t="s">
        <v>115</v>
      </c>
      <c r="B1199" s="7">
        <v>19</v>
      </c>
      <c r="C1199" t="s">
        <v>21</v>
      </c>
      <c r="D1199" s="15">
        <v>6923323.1699999999</v>
      </c>
    </row>
    <row r="1200" spans="1:4" x14ac:dyDescent="0.3">
      <c r="A1200" t="s">
        <v>115</v>
      </c>
      <c r="B1200" s="7">
        <v>19</v>
      </c>
      <c r="C1200" t="s">
        <v>22</v>
      </c>
      <c r="D1200" s="20">
        <v>0.124</v>
      </c>
    </row>
    <row r="1201" spans="1:7" x14ac:dyDescent="0.3">
      <c r="A1201" s="10" t="s">
        <v>115</v>
      </c>
      <c r="B1201" s="7">
        <v>19</v>
      </c>
      <c r="C1201" s="10" t="s">
        <v>20</v>
      </c>
      <c r="D1201" s="21" t="s">
        <v>57</v>
      </c>
      <c r="E1201" s="6" t="s">
        <v>64</v>
      </c>
      <c r="F1201" s="6" t="s">
        <v>58</v>
      </c>
    </row>
    <row r="1202" spans="1:7" x14ac:dyDescent="0.3">
      <c r="A1202" t="s">
        <v>115</v>
      </c>
      <c r="B1202" s="7">
        <v>19</v>
      </c>
      <c r="C1202" t="s">
        <v>42</v>
      </c>
      <c r="D1202" s="15" t="s">
        <v>56</v>
      </c>
      <c r="E1202" s="3" t="s">
        <v>56</v>
      </c>
      <c r="F1202" s="3" t="s">
        <v>56</v>
      </c>
    </row>
    <row r="1203" spans="1:7" x14ac:dyDescent="0.3">
      <c r="A1203" t="s">
        <v>115</v>
      </c>
      <c r="B1203" s="7">
        <v>19</v>
      </c>
      <c r="C1203" t="s">
        <v>43</v>
      </c>
      <c r="D1203" s="15">
        <v>703342</v>
      </c>
      <c r="E1203" s="3">
        <v>169068</v>
      </c>
      <c r="F1203" s="3">
        <v>534274</v>
      </c>
    </row>
    <row r="1204" spans="1:7" x14ac:dyDescent="0.3">
      <c r="A1204" t="s">
        <v>115</v>
      </c>
      <c r="B1204" s="7">
        <v>19</v>
      </c>
      <c r="C1204" t="s">
        <v>44</v>
      </c>
      <c r="D1204" s="15">
        <v>519094</v>
      </c>
      <c r="E1204" s="3">
        <v>245813</v>
      </c>
      <c r="F1204" s="3">
        <v>273281</v>
      </c>
    </row>
    <row r="1205" spans="1:7" x14ac:dyDescent="0.3">
      <c r="A1205" t="s">
        <v>115</v>
      </c>
      <c r="B1205" s="7">
        <v>19</v>
      </c>
      <c r="C1205" t="s">
        <v>45</v>
      </c>
      <c r="D1205" s="15">
        <v>1504294</v>
      </c>
      <c r="E1205" s="3">
        <v>1402903</v>
      </c>
      <c r="F1205" s="3">
        <v>101390</v>
      </c>
    </row>
    <row r="1206" spans="1:7" x14ac:dyDescent="0.3">
      <c r="A1206" t="s">
        <v>115</v>
      </c>
      <c r="B1206" s="7">
        <v>19</v>
      </c>
      <c r="C1206" t="s">
        <v>195</v>
      </c>
      <c r="D1206" s="20">
        <v>4.9700000000000001E-2</v>
      </c>
    </row>
    <row r="1207" spans="1:7" x14ac:dyDescent="0.3">
      <c r="A1207" t="s">
        <v>115</v>
      </c>
      <c r="B1207" s="7">
        <v>19</v>
      </c>
      <c r="C1207" t="s">
        <v>196</v>
      </c>
      <c r="D1207" s="20">
        <v>1.7500000000000002E-2</v>
      </c>
    </row>
    <row r="1208" spans="1:7" ht="43.2" x14ac:dyDescent="0.3">
      <c r="A1208" s="10" t="s">
        <v>115</v>
      </c>
      <c r="B1208" s="7">
        <v>19</v>
      </c>
      <c r="C1208" s="10" t="s">
        <v>20</v>
      </c>
      <c r="D1208" s="22" t="s">
        <v>150</v>
      </c>
      <c r="E1208" s="5" t="s">
        <v>93</v>
      </c>
      <c r="F1208" s="6" t="s">
        <v>59</v>
      </c>
    </row>
    <row r="1209" spans="1:7" x14ac:dyDescent="0.3">
      <c r="A1209" t="s">
        <v>115</v>
      </c>
      <c r="B1209" s="7">
        <v>19</v>
      </c>
      <c r="C1209" t="s">
        <v>42</v>
      </c>
      <c r="D1209" s="15" t="s">
        <v>56</v>
      </c>
      <c r="E1209" s="3" t="s">
        <v>56</v>
      </c>
      <c r="F1209" s="3" t="s">
        <v>56</v>
      </c>
    </row>
    <row r="1210" spans="1:7" x14ac:dyDescent="0.3">
      <c r="A1210" t="s">
        <v>115</v>
      </c>
      <c r="B1210" s="7">
        <v>19</v>
      </c>
      <c r="C1210" t="s">
        <v>43</v>
      </c>
      <c r="D1210" s="15">
        <v>703342</v>
      </c>
      <c r="E1210" s="3">
        <v>670676</v>
      </c>
      <c r="F1210" s="3">
        <v>32666</v>
      </c>
    </row>
    <row r="1211" spans="1:7" x14ac:dyDescent="0.3">
      <c r="A1211" t="s">
        <v>115</v>
      </c>
      <c r="B1211" s="7">
        <v>19</v>
      </c>
      <c r="C1211" t="s">
        <v>44</v>
      </c>
      <c r="D1211" s="15">
        <v>519094</v>
      </c>
      <c r="E1211" s="3">
        <v>791831</v>
      </c>
      <c r="F1211" s="3">
        <v>-272737</v>
      </c>
    </row>
    <row r="1212" spans="1:7" x14ac:dyDescent="0.3">
      <c r="A1212" t="s">
        <v>115</v>
      </c>
      <c r="B1212" s="7">
        <v>19</v>
      </c>
      <c r="C1212" t="s">
        <v>45</v>
      </c>
      <c r="D1212" s="15">
        <v>1504294</v>
      </c>
      <c r="E1212" s="3">
        <v>1204358</v>
      </c>
      <c r="F1212" s="3">
        <v>299936</v>
      </c>
    </row>
    <row r="1213" spans="1:7" x14ac:dyDescent="0.3">
      <c r="A1213" t="s">
        <v>115</v>
      </c>
      <c r="B1213" s="7">
        <v>19</v>
      </c>
      <c r="C1213" t="s">
        <v>200</v>
      </c>
      <c r="D1213" s="15" t="s">
        <v>56</v>
      </c>
    </row>
    <row r="1214" spans="1:7" x14ac:dyDescent="0.3">
      <c r="A1214" t="s">
        <v>115</v>
      </c>
      <c r="B1214" s="7">
        <v>19</v>
      </c>
      <c r="C1214" t="s">
        <v>201</v>
      </c>
      <c r="D1214" s="15" t="s">
        <v>56</v>
      </c>
    </row>
    <row r="1215" spans="1:7" ht="43.2" x14ac:dyDescent="0.3">
      <c r="A1215" s="10" t="s">
        <v>115</v>
      </c>
      <c r="B1215" s="7">
        <v>19</v>
      </c>
      <c r="C1215" s="10" t="s">
        <v>46</v>
      </c>
      <c r="D1215" s="22" t="s">
        <v>150</v>
      </c>
      <c r="E1215" s="5" t="s">
        <v>93</v>
      </c>
      <c r="F1215" s="6" t="s">
        <v>59</v>
      </c>
      <c r="G1215" s="9" t="s">
        <v>63</v>
      </c>
    </row>
    <row r="1216" spans="1:7" x14ac:dyDescent="0.3">
      <c r="A1216" t="s">
        <v>115</v>
      </c>
      <c r="B1216" s="7">
        <v>19</v>
      </c>
      <c r="C1216" t="s">
        <v>47</v>
      </c>
      <c r="D1216" s="15">
        <v>2886174</v>
      </c>
      <c r="E1216" s="3">
        <v>2603412</v>
      </c>
      <c r="F1216" s="3">
        <v>282762</v>
      </c>
      <c r="G1216" s="4">
        <v>0.1086</v>
      </c>
    </row>
    <row r="1217" spans="1:7" x14ac:dyDescent="0.3">
      <c r="A1217" t="s">
        <v>115</v>
      </c>
      <c r="B1217" s="7">
        <v>19</v>
      </c>
      <c r="C1217" t="s">
        <v>48</v>
      </c>
      <c r="D1217" s="15">
        <v>1140151</v>
      </c>
      <c r="E1217" s="3">
        <v>1012771</v>
      </c>
      <c r="F1217" s="3">
        <v>127380</v>
      </c>
      <c r="G1217" s="4">
        <v>0.1258</v>
      </c>
    </row>
    <row r="1218" spans="1:7" x14ac:dyDescent="0.3">
      <c r="A1218" t="s">
        <v>119</v>
      </c>
      <c r="B1218" s="7">
        <v>20</v>
      </c>
      <c r="C1218" t="s">
        <v>197</v>
      </c>
      <c r="D1218" s="15">
        <v>4395786</v>
      </c>
    </row>
    <row r="1219" spans="1:7" x14ac:dyDescent="0.3">
      <c r="A1219" t="s">
        <v>119</v>
      </c>
      <c r="B1219" s="7">
        <v>20</v>
      </c>
      <c r="C1219" t="s">
        <v>213</v>
      </c>
      <c r="D1219" s="15" t="s">
        <v>56</v>
      </c>
    </row>
    <row r="1220" spans="1:7" x14ac:dyDescent="0.3">
      <c r="A1220" t="s">
        <v>119</v>
      </c>
      <c r="B1220" s="7">
        <v>20</v>
      </c>
      <c r="C1220" t="s">
        <v>24</v>
      </c>
      <c r="D1220" s="15" t="s">
        <v>56</v>
      </c>
    </row>
    <row r="1221" spans="1:7" x14ac:dyDescent="0.3">
      <c r="A1221" t="s">
        <v>119</v>
      </c>
      <c r="B1221" s="7">
        <v>20</v>
      </c>
      <c r="C1221" t="s">
        <v>25</v>
      </c>
      <c r="D1221" s="15" t="s">
        <v>56</v>
      </c>
    </row>
    <row r="1222" spans="1:7" x14ac:dyDescent="0.3">
      <c r="A1222" t="s">
        <v>119</v>
      </c>
      <c r="B1222" s="7">
        <v>20</v>
      </c>
      <c r="C1222" t="s">
        <v>26</v>
      </c>
      <c r="D1222" s="15">
        <v>802922</v>
      </c>
    </row>
    <row r="1223" spans="1:7" x14ac:dyDescent="0.3">
      <c r="A1223" t="s">
        <v>119</v>
      </c>
      <c r="B1223" s="7">
        <v>20</v>
      </c>
      <c r="C1223" t="s">
        <v>27</v>
      </c>
      <c r="D1223" s="15">
        <v>-348677</v>
      </c>
    </row>
    <row r="1224" spans="1:7" x14ac:dyDescent="0.3">
      <c r="A1224" t="s">
        <v>119</v>
      </c>
      <c r="B1224" s="7">
        <v>20</v>
      </c>
      <c r="C1224" t="s">
        <v>198</v>
      </c>
      <c r="D1224" s="15" t="s">
        <v>56</v>
      </c>
    </row>
    <row r="1225" spans="1:7" x14ac:dyDescent="0.3">
      <c r="A1225" t="s">
        <v>119</v>
      </c>
      <c r="B1225" s="7">
        <v>20</v>
      </c>
      <c r="C1225" t="s">
        <v>28</v>
      </c>
      <c r="D1225" s="15" t="s">
        <v>56</v>
      </c>
    </row>
    <row r="1226" spans="1:7" x14ac:dyDescent="0.3">
      <c r="A1226" t="s">
        <v>119</v>
      </c>
      <c r="B1226" s="7">
        <v>20</v>
      </c>
      <c r="C1226" t="s">
        <v>29</v>
      </c>
    </row>
    <row r="1227" spans="1:7" x14ac:dyDescent="0.3">
      <c r="A1227" t="s">
        <v>119</v>
      </c>
      <c r="B1227" s="7">
        <v>20</v>
      </c>
      <c r="C1227" t="s">
        <v>30</v>
      </c>
    </row>
    <row r="1228" spans="1:7" x14ac:dyDescent="0.3">
      <c r="A1228" t="s">
        <v>119</v>
      </c>
      <c r="B1228" s="7">
        <v>20</v>
      </c>
      <c r="C1228" t="s">
        <v>53</v>
      </c>
      <c r="D1228" s="15">
        <v>-153000</v>
      </c>
    </row>
    <row r="1229" spans="1:7" x14ac:dyDescent="0.3">
      <c r="A1229" t="s">
        <v>119</v>
      </c>
      <c r="B1229" s="7">
        <v>20</v>
      </c>
      <c r="C1229" t="s">
        <v>31</v>
      </c>
      <c r="D1229" s="15">
        <v>4697030</v>
      </c>
    </row>
    <row r="1230" spans="1:7" x14ac:dyDescent="0.3">
      <c r="A1230" t="s">
        <v>119</v>
      </c>
      <c r="B1230" s="7">
        <v>20</v>
      </c>
      <c r="C1230" t="s">
        <v>54</v>
      </c>
      <c r="D1230" s="15">
        <v>1500000</v>
      </c>
    </row>
    <row r="1231" spans="1:7" x14ac:dyDescent="0.3">
      <c r="A1231" t="s">
        <v>119</v>
      </c>
      <c r="B1231" s="7">
        <v>20</v>
      </c>
      <c r="C1231" t="s">
        <v>199</v>
      </c>
      <c r="D1231" s="15">
        <v>617278</v>
      </c>
    </row>
    <row r="1232" spans="1:7" x14ac:dyDescent="0.3">
      <c r="A1232" t="s">
        <v>119</v>
      </c>
      <c r="B1232" s="7">
        <v>20</v>
      </c>
      <c r="C1232" t="s">
        <v>32</v>
      </c>
      <c r="D1232" s="15">
        <v>5773</v>
      </c>
    </row>
    <row r="1233" spans="1:4" x14ac:dyDescent="0.3">
      <c r="A1233" t="s">
        <v>119</v>
      </c>
      <c r="B1233" s="7">
        <v>20</v>
      </c>
      <c r="C1233" t="s">
        <v>33</v>
      </c>
      <c r="D1233" s="15">
        <v>300</v>
      </c>
    </row>
    <row r="1234" spans="1:4" x14ac:dyDescent="0.3">
      <c r="A1234" t="s">
        <v>119</v>
      </c>
      <c r="B1234" s="7">
        <v>20</v>
      </c>
      <c r="C1234" t="s">
        <v>23</v>
      </c>
      <c r="D1234" s="15">
        <v>2123351</v>
      </c>
    </row>
    <row r="1235" spans="1:4" x14ac:dyDescent="0.3">
      <c r="A1235" t="s">
        <v>119</v>
      </c>
      <c r="B1235" s="7">
        <v>20</v>
      </c>
      <c r="C1235" t="s">
        <v>54</v>
      </c>
      <c r="D1235" s="15">
        <v>1500000</v>
      </c>
    </row>
    <row r="1236" spans="1:4" x14ac:dyDescent="0.3">
      <c r="A1236" t="s">
        <v>119</v>
      </c>
      <c r="B1236" s="7">
        <v>20</v>
      </c>
      <c r="C1236" t="s">
        <v>207</v>
      </c>
      <c r="D1236" s="15">
        <v>-153000</v>
      </c>
    </row>
    <row r="1237" spans="1:4" x14ac:dyDescent="0.3">
      <c r="A1237" t="s">
        <v>119</v>
      </c>
      <c r="B1237" s="7">
        <v>20</v>
      </c>
      <c r="C1237" t="s">
        <v>55</v>
      </c>
    </row>
    <row r="1238" spans="1:4" x14ac:dyDescent="0.3">
      <c r="A1238" t="s">
        <v>119</v>
      </c>
      <c r="B1238" s="7">
        <v>20</v>
      </c>
      <c r="C1238" t="s">
        <v>208</v>
      </c>
      <c r="D1238" s="15">
        <v>-153000</v>
      </c>
    </row>
    <row r="1239" spans="1:4" x14ac:dyDescent="0.3">
      <c r="A1239" t="s">
        <v>119</v>
      </c>
      <c r="B1239" s="7">
        <v>20</v>
      </c>
      <c r="C1239" t="s">
        <v>35</v>
      </c>
      <c r="D1239" s="15">
        <v>4697030</v>
      </c>
    </row>
    <row r="1240" spans="1:4" x14ac:dyDescent="0.3">
      <c r="A1240" t="s">
        <v>119</v>
      </c>
      <c r="B1240" s="7">
        <v>20</v>
      </c>
      <c r="C1240" t="s">
        <v>36</v>
      </c>
      <c r="D1240" s="15">
        <v>2123351</v>
      </c>
    </row>
    <row r="1241" spans="1:4" x14ac:dyDescent="0.3">
      <c r="A1241" t="s">
        <v>119</v>
      </c>
      <c r="B1241" s="7">
        <v>20</v>
      </c>
      <c r="C1241" t="s">
        <v>37</v>
      </c>
      <c r="D1241" s="15">
        <v>6820382</v>
      </c>
    </row>
    <row r="1242" spans="1:4" x14ac:dyDescent="0.3">
      <c r="A1242" t="s">
        <v>119</v>
      </c>
      <c r="B1242" s="7">
        <v>20</v>
      </c>
      <c r="C1242" t="s">
        <v>38</v>
      </c>
      <c r="D1242" s="20">
        <v>8.5300000000000001E-2</v>
      </c>
    </row>
    <row r="1243" spans="1:4" x14ac:dyDescent="0.3">
      <c r="A1243" t="s">
        <v>119</v>
      </c>
      <c r="B1243" s="7">
        <v>20</v>
      </c>
      <c r="C1243" t="s">
        <v>39</v>
      </c>
      <c r="D1243" s="20">
        <v>0.1239</v>
      </c>
    </row>
    <row r="1244" spans="1:4" x14ac:dyDescent="0.3">
      <c r="A1244" t="s">
        <v>119</v>
      </c>
      <c r="B1244" s="7">
        <v>20</v>
      </c>
      <c r="C1244" t="s">
        <v>194</v>
      </c>
      <c r="D1244" s="15">
        <v>49382261</v>
      </c>
    </row>
    <row r="1245" spans="1:4" x14ac:dyDescent="0.3">
      <c r="A1245" t="s">
        <v>119</v>
      </c>
      <c r="B1245" s="7">
        <v>20</v>
      </c>
      <c r="C1245" t="s">
        <v>181</v>
      </c>
      <c r="D1245" s="15">
        <v>3390916</v>
      </c>
    </row>
    <row r="1246" spans="1:4" x14ac:dyDescent="0.3">
      <c r="A1246" t="s">
        <v>119</v>
      </c>
      <c r="B1246" s="7">
        <v>20</v>
      </c>
      <c r="C1246" t="s">
        <v>182</v>
      </c>
      <c r="D1246" s="18">
        <v>183908</v>
      </c>
    </row>
    <row r="1247" spans="1:4" x14ac:dyDescent="0.3">
      <c r="A1247" t="s">
        <v>119</v>
      </c>
      <c r="B1247" s="7">
        <v>20</v>
      </c>
      <c r="C1247" t="s">
        <v>209</v>
      </c>
      <c r="D1247" s="15">
        <v>23682</v>
      </c>
    </row>
    <row r="1248" spans="1:4" x14ac:dyDescent="0.3">
      <c r="A1248" t="s">
        <v>119</v>
      </c>
      <c r="B1248" s="7">
        <v>20</v>
      </c>
      <c r="C1248" t="s">
        <v>210</v>
      </c>
      <c r="D1248" s="15">
        <v>492618</v>
      </c>
    </row>
    <row r="1249" spans="1:4" x14ac:dyDescent="0.3">
      <c r="A1249" t="s">
        <v>119</v>
      </c>
      <c r="B1249" s="7">
        <v>20</v>
      </c>
      <c r="C1249" t="s">
        <v>222</v>
      </c>
      <c r="D1249" s="15">
        <v>1588713</v>
      </c>
    </row>
    <row r="1250" spans="1:4" x14ac:dyDescent="0.3">
      <c r="A1250" t="s">
        <v>119</v>
      </c>
      <c r="B1250" s="7">
        <v>20</v>
      </c>
      <c r="C1250" t="s">
        <v>203</v>
      </c>
      <c r="D1250" s="15">
        <v>55062097</v>
      </c>
    </row>
    <row r="1251" spans="1:4" x14ac:dyDescent="0.3">
      <c r="A1251" t="s">
        <v>119</v>
      </c>
      <c r="B1251" s="7">
        <v>20</v>
      </c>
      <c r="C1251" t="s">
        <v>184</v>
      </c>
      <c r="D1251" s="15" t="s">
        <v>56</v>
      </c>
    </row>
    <row r="1252" spans="1:4" x14ac:dyDescent="0.3">
      <c r="A1252" t="s">
        <v>119</v>
      </c>
      <c r="B1252" s="7">
        <v>20</v>
      </c>
      <c r="C1252" t="s">
        <v>185</v>
      </c>
      <c r="D1252" s="15" t="s">
        <v>56</v>
      </c>
    </row>
    <row r="1253" spans="1:4" x14ac:dyDescent="0.3">
      <c r="A1253" t="s">
        <v>119</v>
      </c>
      <c r="B1253" s="7">
        <v>20</v>
      </c>
      <c r="C1253" t="s">
        <v>186</v>
      </c>
      <c r="D1253" s="15">
        <v>1106652</v>
      </c>
    </row>
    <row r="1254" spans="1:4" x14ac:dyDescent="0.3">
      <c r="A1254" t="s">
        <v>119</v>
      </c>
      <c r="B1254" s="7">
        <v>20</v>
      </c>
      <c r="C1254" t="s">
        <v>187</v>
      </c>
      <c r="D1254" s="15">
        <v>5635471</v>
      </c>
    </row>
    <row r="1255" spans="1:4" x14ac:dyDescent="0.3">
      <c r="A1255" t="s">
        <v>119</v>
      </c>
      <c r="B1255" s="7">
        <v>20</v>
      </c>
      <c r="C1255" t="s">
        <v>188</v>
      </c>
      <c r="D1255" s="18">
        <v>17932654</v>
      </c>
    </row>
    <row r="1256" spans="1:4" x14ac:dyDescent="0.3">
      <c r="A1256" t="s">
        <v>119</v>
      </c>
      <c r="B1256" s="7">
        <v>20</v>
      </c>
      <c r="C1256" t="s">
        <v>189</v>
      </c>
      <c r="D1256" s="15">
        <v>3837442</v>
      </c>
    </row>
    <row r="1257" spans="1:4" x14ac:dyDescent="0.3">
      <c r="A1257" t="s">
        <v>119</v>
      </c>
      <c r="B1257" s="7">
        <v>20</v>
      </c>
      <c r="C1257" t="s">
        <v>190</v>
      </c>
      <c r="D1257" s="15">
        <v>221274</v>
      </c>
    </row>
    <row r="1258" spans="1:4" x14ac:dyDescent="0.3">
      <c r="A1258" t="s">
        <v>119</v>
      </c>
      <c r="B1258" s="7">
        <v>20</v>
      </c>
      <c r="C1258" t="s">
        <v>191</v>
      </c>
      <c r="D1258" s="15">
        <v>11067447</v>
      </c>
    </row>
    <row r="1259" spans="1:4" x14ac:dyDescent="0.3">
      <c r="A1259" t="s">
        <v>119</v>
      </c>
      <c r="B1259" s="7">
        <v>20</v>
      </c>
      <c r="C1259" t="s">
        <v>192</v>
      </c>
      <c r="D1259" s="15">
        <v>3213681</v>
      </c>
    </row>
    <row r="1260" spans="1:4" x14ac:dyDescent="0.3">
      <c r="A1260" t="s">
        <v>119</v>
      </c>
      <c r="B1260" s="7">
        <v>20</v>
      </c>
      <c r="C1260" t="s">
        <v>40</v>
      </c>
      <c r="D1260" s="15">
        <v>1957298</v>
      </c>
    </row>
    <row r="1261" spans="1:4" x14ac:dyDescent="0.3">
      <c r="A1261" t="s">
        <v>119</v>
      </c>
      <c r="B1261" s="7">
        <v>20</v>
      </c>
      <c r="C1261" t="s">
        <v>41</v>
      </c>
      <c r="D1261" s="15">
        <v>4011339</v>
      </c>
    </row>
    <row r="1262" spans="1:4" x14ac:dyDescent="0.3">
      <c r="A1262" t="s">
        <v>119</v>
      </c>
      <c r="B1262" s="7">
        <v>20</v>
      </c>
      <c r="C1262" t="s">
        <v>193</v>
      </c>
      <c r="D1262" s="15">
        <v>399003</v>
      </c>
    </row>
    <row r="1263" spans="1:4" x14ac:dyDescent="0.3">
      <c r="A1263" t="s">
        <v>119</v>
      </c>
      <c r="B1263" s="7">
        <v>20</v>
      </c>
      <c r="C1263" t="s">
        <v>194</v>
      </c>
      <c r="D1263" s="15">
        <v>49382261</v>
      </c>
    </row>
    <row r="1264" spans="1:4" x14ac:dyDescent="0.3">
      <c r="A1264" t="s">
        <v>119</v>
      </c>
      <c r="B1264" s="7">
        <v>20</v>
      </c>
      <c r="C1264" t="s">
        <v>181</v>
      </c>
      <c r="D1264" s="15">
        <v>3390916</v>
      </c>
    </row>
    <row r="1265" spans="1:6" x14ac:dyDescent="0.3">
      <c r="A1265" t="s">
        <v>119</v>
      </c>
      <c r="B1265" s="7">
        <v>20</v>
      </c>
      <c r="C1265" t="s">
        <v>182</v>
      </c>
      <c r="D1265" s="18">
        <v>183908</v>
      </c>
    </row>
    <row r="1266" spans="1:6" x14ac:dyDescent="0.3">
      <c r="A1266" t="s">
        <v>119</v>
      </c>
      <c r="B1266" s="7">
        <v>20</v>
      </c>
      <c r="C1266" t="s">
        <v>209</v>
      </c>
      <c r="D1266" s="15">
        <v>23682</v>
      </c>
    </row>
    <row r="1267" spans="1:6" x14ac:dyDescent="0.3">
      <c r="A1267" t="s">
        <v>119</v>
      </c>
      <c r="B1267" s="7">
        <v>20</v>
      </c>
      <c r="C1267" t="s">
        <v>210</v>
      </c>
      <c r="D1267" s="15">
        <v>492618</v>
      </c>
    </row>
    <row r="1268" spans="1:6" x14ac:dyDescent="0.3">
      <c r="A1268" t="s">
        <v>119</v>
      </c>
      <c r="B1268" s="7">
        <v>20</v>
      </c>
      <c r="C1268" t="s">
        <v>222</v>
      </c>
      <c r="D1268" s="15">
        <v>1588713</v>
      </c>
    </row>
    <row r="1269" spans="1:6" x14ac:dyDescent="0.3">
      <c r="A1269" t="s">
        <v>119</v>
      </c>
      <c r="B1269" s="7">
        <v>20</v>
      </c>
      <c r="C1269" t="s">
        <v>203</v>
      </c>
      <c r="D1269" s="15">
        <v>55062097</v>
      </c>
    </row>
    <row r="1270" spans="1:6" x14ac:dyDescent="0.3">
      <c r="A1270" t="s">
        <v>119</v>
      </c>
      <c r="B1270" s="7">
        <v>20</v>
      </c>
      <c r="C1270" t="s">
        <v>21</v>
      </c>
      <c r="D1270" s="15">
        <v>6820381.5800000001</v>
      </c>
    </row>
    <row r="1271" spans="1:6" x14ac:dyDescent="0.3">
      <c r="A1271" t="s">
        <v>119</v>
      </c>
      <c r="B1271" s="7">
        <v>20</v>
      </c>
      <c r="C1271" t="s">
        <v>22</v>
      </c>
      <c r="D1271" s="20">
        <v>0.1239</v>
      </c>
    </row>
    <row r="1272" spans="1:6" x14ac:dyDescent="0.3">
      <c r="A1272" s="10" t="s">
        <v>119</v>
      </c>
      <c r="B1272" s="7">
        <v>20</v>
      </c>
      <c r="C1272" s="10" t="s">
        <v>20</v>
      </c>
      <c r="D1272" s="21" t="s">
        <v>57</v>
      </c>
      <c r="E1272" s="6" t="s">
        <v>64</v>
      </c>
      <c r="F1272" s="6" t="s">
        <v>58</v>
      </c>
    </row>
    <row r="1273" spans="1:6" x14ac:dyDescent="0.3">
      <c r="A1273" t="s">
        <v>119</v>
      </c>
      <c r="B1273" s="7">
        <v>20</v>
      </c>
      <c r="C1273" t="s">
        <v>42</v>
      </c>
      <c r="D1273" s="15" t="s">
        <v>56</v>
      </c>
      <c r="E1273" s="3" t="s">
        <v>56</v>
      </c>
      <c r="F1273" s="3" t="s">
        <v>56</v>
      </c>
    </row>
    <row r="1274" spans="1:6" x14ac:dyDescent="0.3">
      <c r="A1274" t="s">
        <v>119</v>
      </c>
      <c r="B1274" s="7">
        <v>20</v>
      </c>
      <c r="C1274" t="s">
        <v>43</v>
      </c>
      <c r="D1274" s="15">
        <v>405606</v>
      </c>
      <c r="E1274" s="3">
        <v>93621</v>
      </c>
      <c r="F1274" s="3">
        <v>311985</v>
      </c>
    </row>
    <row r="1275" spans="1:6" x14ac:dyDescent="0.3">
      <c r="A1275" t="s">
        <v>119</v>
      </c>
      <c r="B1275" s="7">
        <v>20</v>
      </c>
      <c r="C1275" t="s">
        <v>44</v>
      </c>
      <c r="D1275" s="15">
        <v>598734</v>
      </c>
      <c r="E1275" s="3">
        <v>290178</v>
      </c>
      <c r="F1275" s="3">
        <v>308556</v>
      </c>
    </row>
    <row r="1276" spans="1:6" x14ac:dyDescent="0.3">
      <c r="A1276" t="s">
        <v>119</v>
      </c>
      <c r="B1276" s="7">
        <v>20</v>
      </c>
      <c r="C1276" t="s">
        <v>45</v>
      </c>
      <c r="D1276" s="15">
        <v>1655907</v>
      </c>
      <c r="E1276" s="3">
        <v>1539217</v>
      </c>
      <c r="F1276" s="3">
        <v>116690</v>
      </c>
    </row>
    <row r="1277" spans="1:6" x14ac:dyDescent="0.3">
      <c r="A1277" t="s">
        <v>119</v>
      </c>
      <c r="B1277" s="7">
        <v>20</v>
      </c>
      <c r="C1277" t="s">
        <v>195</v>
      </c>
      <c r="D1277" s="20">
        <v>4.9500000000000002E-2</v>
      </c>
    </row>
    <row r="1278" spans="1:6" x14ac:dyDescent="0.3">
      <c r="A1278" t="s">
        <v>119</v>
      </c>
      <c r="B1278" s="7">
        <v>20</v>
      </c>
      <c r="C1278" t="s">
        <v>196</v>
      </c>
      <c r="D1278" s="20">
        <v>1.4500000000000001E-2</v>
      </c>
    </row>
    <row r="1279" spans="1:6" ht="28.8" x14ac:dyDescent="0.3">
      <c r="A1279" s="10" t="s">
        <v>119</v>
      </c>
      <c r="B1279" s="7">
        <v>20</v>
      </c>
      <c r="C1279" s="10" t="s">
        <v>20</v>
      </c>
      <c r="D1279" s="22" t="s">
        <v>180</v>
      </c>
      <c r="E1279" s="5" t="s">
        <v>70</v>
      </c>
      <c r="F1279" s="5" t="s">
        <v>60</v>
      </c>
    </row>
    <row r="1280" spans="1:6" x14ac:dyDescent="0.3">
      <c r="A1280" t="s">
        <v>119</v>
      </c>
      <c r="B1280" s="7">
        <v>20</v>
      </c>
      <c r="C1280" t="s">
        <v>42</v>
      </c>
      <c r="D1280" s="15" t="s">
        <v>56</v>
      </c>
      <c r="E1280" s="3" t="s">
        <v>56</v>
      </c>
      <c r="F1280" s="3" t="s">
        <v>56</v>
      </c>
    </row>
    <row r="1281" spans="1:7" x14ac:dyDescent="0.3">
      <c r="A1281" t="s">
        <v>119</v>
      </c>
      <c r="B1281" s="7">
        <v>20</v>
      </c>
      <c r="C1281" t="s">
        <v>43</v>
      </c>
      <c r="D1281" s="15">
        <v>405606</v>
      </c>
      <c r="E1281" s="3">
        <v>703342</v>
      </c>
      <c r="F1281" s="3">
        <v>-297736</v>
      </c>
    </row>
    <row r="1282" spans="1:7" x14ac:dyDescent="0.3">
      <c r="A1282" t="s">
        <v>119</v>
      </c>
      <c r="B1282" s="7">
        <v>20</v>
      </c>
      <c r="C1282" t="s">
        <v>44</v>
      </c>
      <c r="D1282" s="15">
        <v>598734</v>
      </c>
      <c r="E1282" s="3">
        <v>519094</v>
      </c>
      <c r="F1282" s="3">
        <v>79640</v>
      </c>
    </row>
    <row r="1283" spans="1:7" x14ac:dyDescent="0.3">
      <c r="A1283" t="s">
        <v>119</v>
      </c>
      <c r="B1283" s="7">
        <v>20</v>
      </c>
      <c r="C1283" t="s">
        <v>45</v>
      </c>
      <c r="D1283" s="15">
        <v>1655907</v>
      </c>
      <c r="E1283" s="3">
        <v>1504294</v>
      </c>
      <c r="F1283" s="3">
        <v>151613</v>
      </c>
    </row>
    <row r="1284" spans="1:7" x14ac:dyDescent="0.3">
      <c r="A1284" t="s">
        <v>119</v>
      </c>
      <c r="B1284" s="7">
        <v>20</v>
      </c>
      <c r="C1284" t="s">
        <v>200</v>
      </c>
      <c r="D1284" s="15" t="s">
        <v>56</v>
      </c>
    </row>
    <row r="1285" spans="1:7" x14ac:dyDescent="0.3">
      <c r="A1285" t="s">
        <v>119</v>
      </c>
      <c r="B1285" s="7">
        <v>20</v>
      </c>
      <c r="C1285" t="s">
        <v>201</v>
      </c>
      <c r="D1285" s="15" t="s">
        <v>56</v>
      </c>
    </row>
    <row r="1286" spans="1:7" ht="43.2" x14ac:dyDescent="0.3">
      <c r="A1286" s="10" t="s">
        <v>119</v>
      </c>
      <c r="B1286" s="7">
        <v>20</v>
      </c>
      <c r="C1286" s="10" t="s">
        <v>46</v>
      </c>
      <c r="D1286" s="22" t="s">
        <v>180</v>
      </c>
      <c r="E1286" s="5" t="s">
        <v>71</v>
      </c>
      <c r="F1286" s="5" t="s">
        <v>60</v>
      </c>
      <c r="G1286" s="12" t="s">
        <v>62</v>
      </c>
    </row>
    <row r="1287" spans="1:7" x14ac:dyDescent="0.3">
      <c r="A1287" t="s">
        <v>119</v>
      </c>
      <c r="B1287" s="7">
        <v>20</v>
      </c>
      <c r="C1287" t="s">
        <v>47</v>
      </c>
      <c r="D1287" s="15">
        <v>2897339</v>
      </c>
      <c r="E1287" s="3">
        <v>2886174</v>
      </c>
      <c r="F1287" s="3">
        <v>11165</v>
      </c>
      <c r="G1287" s="4">
        <v>3.8999999999999998E-3</v>
      </c>
    </row>
    <row r="1288" spans="1:7" x14ac:dyDescent="0.3">
      <c r="A1288" t="s">
        <v>119</v>
      </c>
      <c r="B1288" s="7">
        <v>20</v>
      </c>
      <c r="C1288" t="s">
        <v>48</v>
      </c>
      <c r="D1288" s="15">
        <v>957864</v>
      </c>
      <c r="E1288" s="3">
        <v>1140151</v>
      </c>
      <c r="F1288" s="3">
        <v>-182287</v>
      </c>
      <c r="G1288" s="4">
        <v>-0.15989999999999999</v>
      </c>
    </row>
    <row r="1289" spans="1:7" x14ac:dyDescent="0.3">
      <c r="A1289" t="s">
        <v>99</v>
      </c>
      <c r="B1289" s="7">
        <v>21</v>
      </c>
      <c r="C1289" t="s">
        <v>197</v>
      </c>
      <c r="D1289" s="11">
        <v>4395786</v>
      </c>
      <c r="E1289"/>
      <c r="F1289"/>
      <c r="G1289"/>
    </row>
    <row r="1290" spans="1:7" x14ac:dyDescent="0.3">
      <c r="A1290" t="s">
        <v>99</v>
      </c>
      <c r="B1290" s="7">
        <v>21</v>
      </c>
      <c r="C1290" t="s">
        <v>157</v>
      </c>
      <c r="D1290" t="s">
        <v>56</v>
      </c>
      <c r="E1290"/>
      <c r="F1290"/>
      <c r="G1290"/>
    </row>
    <row r="1291" spans="1:7" x14ac:dyDescent="0.3">
      <c r="A1291" t="s">
        <v>99</v>
      </c>
      <c r="B1291" s="7">
        <v>21</v>
      </c>
      <c r="C1291" t="s">
        <v>25</v>
      </c>
      <c r="D1291" t="s">
        <v>56</v>
      </c>
      <c r="E1291"/>
      <c r="F1291"/>
      <c r="G1291"/>
    </row>
    <row r="1292" spans="1:7" x14ac:dyDescent="0.3">
      <c r="A1292" t="s">
        <v>99</v>
      </c>
      <c r="B1292" s="7">
        <v>21</v>
      </c>
      <c r="C1292" t="s">
        <v>26</v>
      </c>
      <c r="D1292" s="11">
        <v>802922</v>
      </c>
      <c r="E1292"/>
      <c r="F1292"/>
      <c r="G1292"/>
    </row>
    <row r="1293" spans="1:7" x14ac:dyDescent="0.3">
      <c r="A1293" t="s">
        <v>99</v>
      </c>
      <c r="B1293" s="7">
        <v>21</v>
      </c>
      <c r="C1293" t="s">
        <v>27</v>
      </c>
      <c r="D1293" s="27" t="s">
        <v>246</v>
      </c>
      <c r="E1293"/>
      <c r="F1293"/>
      <c r="G1293"/>
    </row>
    <row r="1294" spans="1:7" x14ac:dyDescent="0.3">
      <c r="A1294" t="s">
        <v>99</v>
      </c>
      <c r="B1294" s="7">
        <v>21</v>
      </c>
      <c r="C1294" t="s">
        <v>223</v>
      </c>
      <c r="D1294" t="s">
        <v>56</v>
      </c>
      <c r="E1294"/>
      <c r="F1294"/>
      <c r="G1294"/>
    </row>
    <row r="1295" spans="1:7" x14ac:dyDescent="0.3">
      <c r="A1295" t="s">
        <v>99</v>
      </c>
      <c r="B1295" s="7">
        <v>21</v>
      </c>
      <c r="C1295" t="s">
        <v>158</v>
      </c>
      <c r="D1295" t="s">
        <v>56</v>
      </c>
      <c r="E1295"/>
      <c r="F1295"/>
      <c r="G1295"/>
    </row>
    <row r="1296" spans="1:7" x14ac:dyDescent="0.3">
      <c r="A1296" t="s">
        <v>99</v>
      </c>
      <c r="B1296" s="7">
        <v>21</v>
      </c>
      <c r="C1296" t="s">
        <v>28</v>
      </c>
      <c r="D1296" t="s">
        <v>56</v>
      </c>
      <c r="E1296"/>
      <c r="F1296"/>
      <c r="G1296"/>
    </row>
    <row r="1297" spans="1:7" x14ac:dyDescent="0.3">
      <c r="A1297" t="s">
        <v>99</v>
      </c>
      <c r="B1297" s="7">
        <v>21</v>
      </c>
      <c r="C1297" t="s">
        <v>159</v>
      </c>
      <c r="D1297" s="11"/>
      <c r="E1297"/>
      <c r="F1297"/>
      <c r="G1297"/>
    </row>
    <row r="1298" spans="1:7" x14ac:dyDescent="0.3">
      <c r="A1298" t="s">
        <v>99</v>
      </c>
      <c r="B1298" s="7">
        <v>21</v>
      </c>
      <c r="C1298" t="s">
        <v>160</v>
      </c>
      <c r="D1298" t="s">
        <v>56</v>
      </c>
      <c r="E1298"/>
      <c r="F1298"/>
      <c r="G1298"/>
    </row>
    <row r="1299" spans="1:7" x14ac:dyDescent="0.3">
      <c r="A1299" t="s">
        <v>99</v>
      </c>
      <c r="B1299" s="7">
        <v>21</v>
      </c>
      <c r="C1299" t="s">
        <v>161</v>
      </c>
      <c r="D1299" t="s">
        <v>56</v>
      </c>
      <c r="E1299"/>
      <c r="F1299"/>
      <c r="G1299"/>
    </row>
    <row r="1300" spans="1:7" x14ac:dyDescent="0.3">
      <c r="A1300" t="s">
        <v>99</v>
      </c>
      <c r="B1300" s="7">
        <v>21</v>
      </c>
      <c r="C1300" t="s">
        <v>29</v>
      </c>
      <c r="D1300" t="s">
        <v>56</v>
      </c>
      <c r="E1300"/>
      <c r="F1300"/>
      <c r="G1300"/>
    </row>
    <row r="1301" spans="1:7" x14ac:dyDescent="0.3">
      <c r="A1301" t="s">
        <v>99</v>
      </c>
      <c r="B1301" s="7" t="e">
        <v>#REF!</v>
      </c>
      <c r="C1301" t="s">
        <v>162</v>
      </c>
      <c r="D1301" t="s">
        <v>56</v>
      </c>
      <c r="E1301"/>
      <c r="F1301"/>
      <c r="G1301"/>
    </row>
    <row r="1302" spans="1:7" x14ac:dyDescent="0.3">
      <c r="A1302" t="s">
        <v>99</v>
      </c>
      <c r="B1302" s="7">
        <v>21</v>
      </c>
      <c r="C1302" t="s">
        <v>163</v>
      </c>
      <c r="D1302" s="11">
        <v>12532.46</v>
      </c>
      <c r="E1302"/>
      <c r="F1302"/>
      <c r="G1302"/>
    </row>
    <row r="1303" spans="1:7" x14ac:dyDescent="0.3">
      <c r="A1303" t="s">
        <v>99</v>
      </c>
      <c r="B1303" s="7">
        <v>21</v>
      </c>
      <c r="C1303" t="s">
        <v>164</v>
      </c>
      <c r="D1303" t="s">
        <v>56</v>
      </c>
      <c r="E1303"/>
      <c r="F1303"/>
      <c r="G1303"/>
    </row>
    <row r="1304" spans="1:7" x14ac:dyDescent="0.3">
      <c r="A1304" t="s">
        <v>99</v>
      </c>
      <c r="B1304" s="7">
        <v>21</v>
      </c>
      <c r="C1304" t="s">
        <v>224</v>
      </c>
      <c r="D1304" t="s">
        <v>56</v>
      </c>
      <c r="E1304"/>
      <c r="F1304"/>
      <c r="G1304"/>
    </row>
    <row r="1305" spans="1:7" x14ac:dyDescent="0.3">
      <c r="A1305" t="s">
        <v>99</v>
      </c>
      <c r="B1305" s="7">
        <v>21</v>
      </c>
      <c r="C1305" t="s">
        <v>214</v>
      </c>
      <c r="D1305" t="s">
        <v>56</v>
      </c>
      <c r="E1305"/>
      <c r="F1305"/>
      <c r="G1305"/>
    </row>
    <row r="1306" spans="1:7" x14ac:dyDescent="0.3">
      <c r="A1306" t="s">
        <v>99</v>
      </c>
      <c r="B1306" s="7">
        <v>21</v>
      </c>
      <c r="C1306" t="s">
        <v>207</v>
      </c>
      <c r="D1306" t="s">
        <v>56</v>
      </c>
      <c r="E1306"/>
      <c r="F1306"/>
      <c r="G1306"/>
    </row>
    <row r="1307" spans="1:7" x14ac:dyDescent="0.3">
      <c r="A1307" t="s">
        <v>99</v>
      </c>
      <c r="B1307" s="7">
        <v>21</v>
      </c>
      <c r="C1307" t="s">
        <v>225</v>
      </c>
      <c r="D1307" t="s">
        <v>56</v>
      </c>
      <c r="E1307"/>
      <c r="F1307"/>
      <c r="G1307"/>
    </row>
    <row r="1308" spans="1:7" x14ac:dyDescent="0.3">
      <c r="A1308" t="s">
        <v>99</v>
      </c>
      <c r="B1308" s="7">
        <v>21</v>
      </c>
      <c r="C1308" t="s">
        <v>226</v>
      </c>
      <c r="D1308" t="s">
        <v>56</v>
      </c>
      <c r="E1308"/>
      <c r="F1308"/>
      <c r="G1308"/>
    </row>
    <row r="1309" spans="1:7" x14ac:dyDescent="0.3">
      <c r="A1309" t="s">
        <v>99</v>
      </c>
      <c r="B1309" s="7">
        <v>21</v>
      </c>
      <c r="C1309" t="s">
        <v>227</v>
      </c>
      <c r="D1309" s="11">
        <v>10046.4</v>
      </c>
      <c r="E1309"/>
      <c r="F1309"/>
      <c r="G1309"/>
    </row>
    <row r="1310" spans="1:7" x14ac:dyDescent="0.3">
      <c r="A1310" t="s">
        <v>99</v>
      </c>
      <c r="B1310" s="7">
        <v>21</v>
      </c>
      <c r="C1310" t="s">
        <v>165</v>
      </c>
      <c r="D1310" t="s">
        <v>56</v>
      </c>
      <c r="E1310"/>
      <c r="F1310"/>
      <c r="G1310"/>
    </row>
    <row r="1311" spans="1:7" x14ac:dyDescent="0.3">
      <c r="A1311" t="s">
        <v>99</v>
      </c>
      <c r="B1311" s="7">
        <v>22</v>
      </c>
      <c r="C1311" t="s">
        <v>166</v>
      </c>
      <c r="D1311" t="s">
        <v>56</v>
      </c>
      <c r="E1311"/>
      <c r="F1311"/>
      <c r="G1311"/>
    </row>
    <row r="1312" spans="1:7" x14ac:dyDescent="0.3">
      <c r="A1312" t="s">
        <v>99</v>
      </c>
      <c r="B1312" s="7">
        <v>22</v>
      </c>
      <c r="C1312" t="s">
        <v>167</v>
      </c>
      <c r="D1312" t="s">
        <v>56</v>
      </c>
      <c r="E1312"/>
      <c r="F1312"/>
      <c r="G1312"/>
    </row>
    <row r="1313" spans="1:7" x14ac:dyDescent="0.3">
      <c r="A1313" t="s">
        <v>99</v>
      </c>
      <c r="B1313" s="7">
        <v>22</v>
      </c>
      <c r="C1313" t="s">
        <v>228</v>
      </c>
      <c r="D1313" t="s">
        <v>56</v>
      </c>
      <c r="E1313"/>
      <c r="F1313"/>
      <c r="G1313"/>
    </row>
    <row r="1314" spans="1:7" x14ac:dyDescent="0.3">
      <c r="A1314" t="s">
        <v>99</v>
      </c>
      <c r="B1314" s="7">
        <v>22</v>
      </c>
      <c r="C1314" t="s">
        <v>55</v>
      </c>
      <c r="D1314" t="s">
        <v>56</v>
      </c>
      <c r="E1314"/>
      <c r="F1314"/>
      <c r="G1314"/>
    </row>
    <row r="1315" spans="1:7" x14ac:dyDescent="0.3">
      <c r="A1315" t="s">
        <v>99</v>
      </c>
      <c r="B1315" s="7">
        <v>22</v>
      </c>
      <c r="C1315" t="s">
        <v>168</v>
      </c>
      <c r="D1315" s="11">
        <v>4826441</v>
      </c>
      <c r="E1315"/>
      <c r="F1315"/>
      <c r="G1315"/>
    </row>
    <row r="1316" spans="1:7" x14ac:dyDescent="0.3">
      <c r="A1316" t="s">
        <v>99</v>
      </c>
      <c r="B1316" s="7">
        <v>22</v>
      </c>
      <c r="C1316" t="s">
        <v>229</v>
      </c>
      <c r="D1316" t="s">
        <v>56</v>
      </c>
      <c r="E1316"/>
      <c r="F1316"/>
      <c r="G1316"/>
    </row>
    <row r="1317" spans="1:7" x14ac:dyDescent="0.3">
      <c r="A1317" t="s">
        <v>99</v>
      </c>
      <c r="B1317" s="7">
        <v>22</v>
      </c>
      <c r="C1317" t="s">
        <v>54</v>
      </c>
      <c r="D1317" s="27" t="s">
        <v>247</v>
      </c>
      <c r="E1317"/>
      <c r="F1317"/>
      <c r="G1317"/>
    </row>
    <row r="1318" spans="1:7" x14ac:dyDescent="0.3">
      <c r="A1318" t="s">
        <v>99</v>
      </c>
      <c r="B1318" s="7">
        <v>22</v>
      </c>
      <c r="C1318" t="s">
        <v>169</v>
      </c>
      <c r="D1318" t="s">
        <v>56</v>
      </c>
      <c r="E1318"/>
      <c r="F1318"/>
      <c r="G1318"/>
    </row>
    <row r="1319" spans="1:7" x14ac:dyDescent="0.3">
      <c r="A1319" t="s">
        <v>99</v>
      </c>
      <c r="B1319" s="7">
        <v>22</v>
      </c>
      <c r="C1319" t="s">
        <v>170</v>
      </c>
      <c r="D1319" t="s">
        <v>56</v>
      </c>
      <c r="E1319"/>
      <c r="F1319"/>
      <c r="G1319"/>
    </row>
    <row r="1320" spans="1:7" x14ac:dyDescent="0.3">
      <c r="A1320" t="s">
        <v>99</v>
      </c>
      <c r="B1320" s="7">
        <v>22</v>
      </c>
      <c r="C1320" t="s">
        <v>199</v>
      </c>
      <c r="D1320" s="15">
        <v>563166.11</v>
      </c>
      <c r="E1320"/>
      <c r="F1320"/>
      <c r="G1320"/>
    </row>
    <row r="1321" spans="1:7" x14ac:dyDescent="0.3">
      <c r="A1321" t="s">
        <v>99</v>
      </c>
      <c r="B1321" s="7">
        <v>22</v>
      </c>
      <c r="C1321" t="s">
        <v>32</v>
      </c>
      <c r="D1321" s="15">
        <v>1129.4000000000001</v>
      </c>
      <c r="E1321"/>
      <c r="F1321"/>
      <c r="G1321"/>
    </row>
    <row r="1322" spans="1:7" x14ac:dyDescent="0.3">
      <c r="A1322" t="s">
        <v>99</v>
      </c>
      <c r="B1322" s="7">
        <v>22</v>
      </c>
      <c r="C1322" t="s">
        <v>33</v>
      </c>
      <c r="D1322" s="11">
        <v>3000</v>
      </c>
      <c r="E1322"/>
      <c r="F1322"/>
      <c r="G1322"/>
    </row>
    <row r="1323" spans="1:7" x14ac:dyDescent="0.3">
      <c r="A1323" t="s">
        <v>99</v>
      </c>
      <c r="B1323" s="7">
        <v>22</v>
      </c>
      <c r="C1323" t="s">
        <v>230</v>
      </c>
      <c r="D1323" s="11">
        <v>105526.39999999999</v>
      </c>
      <c r="E1323"/>
      <c r="F1323"/>
      <c r="G1323"/>
    </row>
    <row r="1324" spans="1:7" x14ac:dyDescent="0.3">
      <c r="A1324" t="s">
        <v>99</v>
      </c>
      <c r="B1324" s="7">
        <v>22</v>
      </c>
      <c r="C1324" t="s">
        <v>231</v>
      </c>
      <c r="D1324">
        <v>2763.89</v>
      </c>
      <c r="E1324"/>
      <c r="F1324"/>
      <c r="G1324"/>
    </row>
    <row r="1325" spans="1:7" x14ac:dyDescent="0.3">
      <c r="A1325" t="s">
        <v>99</v>
      </c>
      <c r="B1325" s="7">
        <v>22</v>
      </c>
      <c r="C1325" t="s">
        <v>171</v>
      </c>
      <c r="D1325" t="s">
        <v>56</v>
      </c>
      <c r="E1325"/>
      <c r="F1325"/>
      <c r="G1325"/>
    </row>
    <row r="1326" spans="1:7" x14ac:dyDescent="0.3">
      <c r="A1326" t="s">
        <v>99</v>
      </c>
      <c r="B1326" s="7">
        <v>22</v>
      </c>
      <c r="C1326" t="s">
        <v>232</v>
      </c>
      <c r="D1326" s="11">
        <v>1493245.13</v>
      </c>
      <c r="E1326"/>
      <c r="F1326"/>
      <c r="G1326"/>
    </row>
    <row r="1327" spans="1:7" x14ac:dyDescent="0.3">
      <c r="A1327" t="s">
        <v>99</v>
      </c>
      <c r="B1327" s="7">
        <v>22</v>
      </c>
      <c r="C1327" t="s">
        <v>163</v>
      </c>
      <c r="D1327" s="11">
        <v>12532.46</v>
      </c>
      <c r="E1327"/>
      <c r="F1327"/>
      <c r="G1327"/>
    </row>
    <row r="1328" spans="1:7" x14ac:dyDescent="0.3">
      <c r="A1328" t="s">
        <v>99</v>
      </c>
      <c r="B1328" s="7">
        <v>22</v>
      </c>
      <c r="C1328" t="s">
        <v>227</v>
      </c>
      <c r="D1328" s="11">
        <v>10046.4</v>
      </c>
      <c r="E1328"/>
      <c r="F1328"/>
      <c r="G1328"/>
    </row>
    <row r="1329" spans="1:7" x14ac:dyDescent="0.3">
      <c r="A1329" t="s">
        <v>99</v>
      </c>
      <c r="B1329" s="7">
        <v>22</v>
      </c>
      <c r="C1329" t="s">
        <v>168</v>
      </c>
      <c r="D1329" s="11">
        <v>4757557.42</v>
      </c>
      <c r="E1329"/>
      <c r="F1329"/>
      <c r="G1329"/>
    </row>
    <row r="1330" spans="1:7" x14ac:dyDescent="0.3">
      <c r="A1330" t="s">
        <v>99</v>
      </c>
      <c r="B1330" s="7">
        <v>22</v>
      </c>
      <c r="C1330" t="s">
        <v>232</v>
      </c>
      <c r="D1330" s="11">
        <v>1493245.13</v>
      </c>
      <c r="E1330"/>
      <c r="F1330"/>
      <c r="G1330"/>
    </row>
    <row r="1331" spans="1:7" x14ac:dyDescent="0.3">
      <c r="A1331" t="s">
        <v>99</v>
      </c>
      <c r="B1331" s="7">
        <v>22</v>
      </c>
      <c r="C1331" t="s">
        <v>21</v>
      </c>
      <c r="D1331" s="11">
        <v>6250802.54</v>
      </c>
      <c r="E1331"/>
      <c r="F1331"/>
      <c r="G1331"/>
    </row>
    <row r="1332" spans="1:7" x14ac:dyDescent="0.3">
      <c r="A1332" t="s">
        <v>99</v>
      </c>
      <c r="B1332" s="7">
        <v>22</v>
      </c>
      <c r="C1332" t="s">
        <v>38</v>
      </c>
      <c r="D1332" s="13">
        <v>9.4299999999999995E-2</v>
      </c>
      <c r="E1332"/>
      <c r="F1332"/>
      <c r="G1332"/>
    </row>
    <row r="1333" spans="1:7" x14ac:dyDescent="0.3">
      <c r="A1333" t="s">
        <v>99</v>
      </c>
      <c r="B1333" s="7">
        <v>22</v>
      </c>
      <c r="C1333" t="s">
        <v>39</v>
      </c>
      <c r="D1333" s="13">
        <v>0.12379999999999999</v>
      </c>
      <c r="E1333"/>
      <c r="F1333"/>
      <c r="G1333"/>
    </row>
    <row r="1334" spans="1:7" x14ac:dyDescent="0.3">
      <c r="A1334" t="s">
        <v>99</v>
      </c>
      <c r="B1334" s="7">
        <v>22</v>
      </c>
      <c r="C1334" t="s">
        <v>194</v>
      </c>
      <c r="D1334" s="11">
        <v>45053289.170000002</v>
      </c>
      <c r="E1334"/>
      <c r="F1334"/>
      <c r="G1334"/>
    </row>
    <row r="1335" spans="1:7" x14ac:dyDescent="0.3">
      <c r="A1335" t="s">
        <v>99</v>
      </c>
      <c r="B1335" s="7">
        <v>22</v>
      </c>
      <c r="C1335" t="s">
        <v>181</v>
      </c>
      <c r="D1335" s="15">
        <v>3258580.16</v>
      </c>
      <c r="E1335"/>
      <c r="F1335"/>
      <c r="G1335"/>
    </row>
    <row r="1336" spans="1:7" x14ac:dyDescent="0.3">
      <c r="A1336" t="s">
        <v>99</v>
      </c>
      <c r="B1336" s="7">
        <v>22</v>
      </c>
      <c r="C1336" t="s">
        <v>182</v>
      </c>
      <c r="D1336" s="15">
        <v>13994.83</v>
      </c>
      <c r="E1336"/>
      <c r="F1336"/>
      <c r="G1336"/>
    </row>
    <row r="1337" spans="1:7" x14ac:dyDescent="0.3">
      <c r="A1337" t="s">
        <v>99</v>
      </c>
      <c r="B1337" s="7">
        <v>22</v>
      </c>
      <c r="C1337" t="s">
        <v>233</v>
      </c>
      <c r="D1337" s="11">
        <v>48325864.159999996</v>
      </c>
      <c r="E1337"/>
      <c r="F1337"/>
      <c r="G1337"/>
    </row>
    <row r="1338" spans="1:7" x14ac:dyDescent="0.3">
      <c r="A1338" t="s">
        <v>99</v>
      </c>
      <c r="B1338" s="7">
        <v>22</v>
      </c>
      <c r="C1338" t="s">
        <v>234</v>
      </c>
      <c r="D1338" s="11">
        <v>696971.75</v>
      </c>
      <c r="E1338"/>
      <c r="F1338"/>
      <c r="G1338"/>
    </row>
    <row r="1339" spans="1:7" x14ac:dyDescent="0.3">
      <c r="A1339" t="s">
        <v>99</v>
      </c>
      <c r="B1339" s="7">
        <v>22</v>
      </c>
      <c r="C1339" t="s">
        <v>235</v>
      </c>
      <c r="D1339" s="11">
        <v>1449775.92</v>
      </c>
      <c r="E1339"/>
      <c r="F1339"/>
      <c r="G1339"/>
    </row>
    <row r="1340" spans="1:7" x14ac:dyDescent="0.3">
      <c r="A1340" t="s">
        <v>99</v>
      </c>
      <c r="B1340" s="7">
        <v>22</v>
      </c>
      <c r="C1340" t="s">
        <v>236</v>
      </c>
      <c r="D1340" s="11">
        <v>50472611.840000004</v>
      </c>
      <c r="E1340"/>
      <c r="F1340"/>
      <c r="G1340"/>
    </row>
    <row r="1341" spans="1:7" x14ac:dyDescent="0.3">
      <c r="A1341" t="s">
        <v>99</v>
      </c>
      <c r="B1341" s="7">
        <v>22</v>
      </c>
      <c r="C1341" t="s">
        <v>172</v>
      </c>
      <c r="D1341" s="11">
        <v>44579895.299999997</v>
      </c>
      <c r="E1341"/>
      <c r="F1341"/>
      <c r="G1341"/>
    </row>
    <row r="1342" spans="1:7" x14ac:dyDescent="0.3">
      <c r="A1342" t="s">
        <v>99</v>
      </c>
      <c r="B1342" s="7">
        <v>22</v>
      </c>
      <c r="C1342" t="s">
        <v>237</v>
      </c>
      <c r="D1342" s="11">
        <v>918682.01</v>
      </c>
      <c r="E1342"/>
      <c r="F1342"/>
      <c r="G1342"/>
    </row>
    <row r="1343" spans="1:7" x14ac:dyDescent="0.3">
      <c r="A1343" t="s">
        <v>99</v>
      </c>
      <c r="B1343" s="7">
        <v>22</v>
      </c>
      <c r="C1343" t="s">
        <v>187</v>
      </c>
      <c r="D1343" s="15">
        <v>4199577.4800000004</v>
      </c>
      <c r="E1343"/>
      <c r="F1343"/>
      <c r="G1343"/>
    </row>
    <row r="1344" spans="1:7" x14ac:dyDescent="0.3">
      <c r="A1344" t="s">
        <v>99</v>
      </c>
      <c r="B1344" s="7">
        <v>22</v>
      </c>
      <c r="C1344" t="s">
        <v>188</v>
      </c>
      <c r="D1344" s="18">
        <v>17169401</v>
      </c>
      <c r="E1344"/>
      <c r="F1344"/>
      <c r="G1344"/>
    </row>
    <row r="1345" spans="1:7" x14ac:dyDescent="0.3">
      <c r="A1345" t="s">
        <v>99</v>
      </c>
      <c r="B1345" s="7">
        <v>22</v>
      </c>
      <c r="C1345" t="s">
        <v>189</v>
      </c>
      <c r="D1345" s="15">
        <v>2317731.8199999998</v>
      </c>
      <c r="E1345"/>
      <c r="F1345"/>
      <c r="G1345"/>
    </row>
    <row r="1346" spans="1:7" x14ac:dyDescent="0.3">
      <c r="A1346" t="s">
        <v>99</v>
      </c>
      <c r="B1346" s="7">
        <v>22</v>
      </c>
      <c r="C1346" t="s">
        <v>238</v>
      </c>
      <c r="D1346" s="11">
        <v>35797.25</v>
      </c>
      <c r="E1346"/>
      <c r="F1346"/>
      <c r="G1346"/>
    </row>
    <row r="1347" spans="1:7" x14ac:dyDescent="0.3">
      <c r="A1347" t="s">
        <v>99</v>
      </c>
      <c r="B1347" s="7">
        <v>22</v>
      </c>
      <c r="C1347" t="s">
        <v>191</v>
      </c>
      <c r="D1347" s="11">
        <v>2604119.06</v>
      </c>
      <c r="E1347"/>
      <c r="F1347"/>
      <c r="G1347"/>
    </row>
    <row r="1348" spans="1:7" x14ac:dyDescent="0.3">
      <c r="A1348" t="s">
        <v>99</v>
      </c>
      <c r="B1348" s="7">
        <v>22</v>
      </c>
      <c r="C1348" t="s">
        <v>192</v>
      </c>
      <c r="D1348" s="15">
        <v>5249000.6900000004</v>
      </c>
      <c r="E1348"/>
      <c r="F1348"/>
      <c r="G1348"/>
    </row>
    <row r="1349" spans="1:7" ht="57.6" x14ac:dyDescent="0.3">
      <c r="A1349" t="s">
        <v>99</v>
      </c>
      <c r="B1349" s="7">
        <v>22</v>
      </c>
      <c r="C1349" s="17" t="s">
        <v>239</v>
      </c>
      <c r="D1349" s="11">
        <v>879456.85</v>
      </c>
      <c r="E1349"/>
      <c r="F1349"/>
      <c r="G1349"/>
    </row>
    <row r="1350" spans="1:7" x14ac:dyDescent="0.3">
      <c r="A1350" t="s">
        <v>99</v>
      </c>
      <c r="B1350" s="7">
        <v>22</v>
      </c>
      <c r="C1350" t="s">
        <v>220</v>
      </c>
      <c r="D1350" s="15">
        <v>1625520.39</v>
      </c>
      <c r="E1350"/>
      <c r="F1350"/>
      <c r="G1350"/>
    </row>
    <row r="1351" spans="1:7" x14ac:dyDescent="0.3">
      <c r="A1351" t="s">
        <v>99</v>
      </c>
      <c r="B1351" s="7">
        <v>22</v>
      </c>
      <c r="C1351" t="s">
        <v>219</v>
      </c>
      <c r="D1351" s="15">
        <v>361646.15</v>
      </c>
      <c r="E1351"/>
      <c r="F1351"/>
      <c r="G1351"/>
    </row>
    <row r="1352" spans="1:7" x14ac:dyDescent="0.3">
      <c r="A1352" t="s">
        <v>99</v>
      </c>
      <c r="B1352" s="7">
        <v>22</v>
      </c>
      <c r="C1352" t="s">
        <v>173</v>
      </c>
      <c r="D1352" s="11">
        <v>319819.69</v>
      </c>
      <c r="E1352"/>
      <c r="F1352"/>
      <c r="G1352"/>
    </row>
    <row r="1353" spans="1:7" x14ac:dyDescent="0.3">
      <c r="A1353" t="s">
        <v>99</v>
      </c>
      <c r="B1353" s="7">
        <v>22</v>
      </c>
      <c r="C1353" t="s">
        <v>240</v>
      </c>
      <c r="D1353" s="11">
        <v>719112.52</v>
      </c>
      <c r="E1353"/>
      <c r="F1353"/>
      <c r="G1353"/>
    </row>
    <row r="1354" spans="1:7" x14ac:dyDescent="0.3">
      <c r="A1354" t="s">
        <v>99</v>
      </c>
      <c r="B1354" s="7">
        <v>22</v>
      </c>
      <c r="C1354" t="s">
        <v>241</v>
      </c>
      <c r="D1354" s="11">
        <v>601235.55000000005</v>
      </c>
      <c r="E1354"/>
      <c r="F1354"/>
      <c r="G1354"/>
    </row>
    <row r="1355" spans="1:7" x14ac:dyDescent="0.3">
      <c r="A1355" t="s">
        <v>99</v>
      </c>
      <c r="B1355" s="7">
        <v>22</v>
      </c>
      <c r="C1355" t="s">
        <v>242</v>
      </c>
      <c r="D1355" s="11">
        <v>160017.22</v>
      </c>
      <c r="E1355"/>
      <c r="F1355"/>
      <c r="G1355"/>
    </row>
    <row r="1356" spans="1:7" x14ac:dyDescent="0.3">
      <c r="A1356" t="s">
        <v>99</v>
      </c>
      <c r="B1356" s="7">
        <v>22</v>
      </c>
      <c r="C1356" t="s">
        <v>41</v>
      </c>
      <c r="D1356" s="15">
        <v>2144167.65</v>
      </c>
      <c r="E1356"/>
      <c r="F1356"/>
      <c r="G1356"/>
    </row>
    <row r="1357" spans="1:7" x14ac:dyDescent="0.3">
      <c r="A1357" t="s">
        <v>99</v>
      </c>
      <c r="B1357" s="7">
        <v>22</v>
      </c>
      <c r="C1357" t="s">
        <v>193</v>
      </c>
      <c r="D1357" s="11">
        <v>473393.87</v>
      </c>
      <c r="E1357"/>
      <c r="F1357"/>
      <c r="G1357"/>
    </row>
    <row r="1358" spans="1:7" x14ac:dyDescent="0.3">
      <c r="A1358" t="s">
        <v>99</v>
      </c>
      <c r="B1358" s="7">
        <v>22</v>
      </c>
      <c r="C1358" t="s">
        <v>243</v>
      </c>
      <c r="D1358" s="11">
        <v>109326.06</v>
      </c>
      <c r="E1358"/>
      <c r="F1358"/>
      <c r="G1358"/>
    </row>
    <row r="1359" spans="1:7" x14ac:dyDescent="0.3">
      <c r="A1359" t="s">
        <v>99</v>
      </c>
      <c r="B1359" s="7">
        <v>22</v>
      </c>
      <c r="C1359" t="s">
        <v>244</v>
      </c>
      <c r="D1359" s="11">
        <v>364067.81</v>
      </c>
      <c r="E1359"/>
      <c r="F1359"/>
      <c r="G1359"/>
    </row>
    <row r="1360" spans="1:7" x14ac:dyDescent="0.3">
      <c r="A1360" s="10" t="s">
        <v>99</v>
      </c>
      <c r="B1360" s="7">
        <v>22</v>
      </c>
      <c r="C1360" s="10" t="s">
        <v>20</v>
      </c>
      <c r="D1360" s="21" t="s">
        <v>57</v>
      </c>
      <c r="E1360" s="6" t="s">
        <v>64</v>
      </c>
      <c r="F1360" s="6" t="s">
        <v>58</v>
      </c>
      <c r="G1360"/>
    </row>
    <row r="1361" spans="1:7" x14ac:dyDescent="0.3">
      <c r="A1361" t="s">
        <v>99</v>
      </c>
      <c r="B1361" s="7">
        <v>22</v>
      </c>
      <c r="C1361" t="s">
        <v>43</v>
      </c>
      <c r="D1361" s="15">
        <v>845903.22</v>
      </c>
      <c r="E1361" s="3">
        <v>206991.56</v>
      </c>
      <c r="F1361" s="3">
        <v>638911.66</v>
      </c>
      <c r="G1361"/>
    </row>
    <row r="1362" spans="1:7" x14ac:dyDescent="0.3">
      <c r="A1362" t="s">
        <v>99</v>
      </c>
      <c r="B1362" s="7">
        <v>22</v>
      </c>
      <c r="C1362" t="s">
        <v>44</v>
      </c>
      <c r="D1362" s="11">
        <v>286813.75</v>
      </c>
      <c r="E1362" s="11">
        <v>140401.70000000001</v>
      </c>
      <c r="F1362" s="11">
        <v>146412.04999999999</v>
      </c>
      <c r="G1362"/>
    </row>
    <row r="1363" spans="1:7" x14ac:dyDescent="0.3">
      <c r="A1363" t="s">
        <v>99</v>
      </c>
      <c r="B1363" s="7">
        <v>22</v>
      </c>
      <c r="C1363" t="s">
        <v>45</v>
      </c>
      <c r="D1363" s="15">
        <v>914271.66</v>
      </c>
      <c r="E1363" s="14">
        <v>888335.14</v>
      </c>
      <c r="F1363" s="14">
        <v>25936.52</v>
      </c>
      <c r="G1363"/>
    </row>
    <row r="1364" spans="1:7" x14ac:dyDescent="0.3">
      <c r="A1364" t="s">
        <v>99</v>
      </c>
      <c r="B1364" s="7">
        <v>22</v>
      </c>
      <c r="C1364" t="s">
        <v>195</v>
      </c>
      <c r="D1364" s="13">
        <v>3.9600000000000003E-2</v>
      </c>
      <c r="E1364"/>
      <c r="F1364"/>
      <c r="G1364"/>
    </row>
    <row r="1365" spans="1:7" x14ac:dyDescent="0.3">
      <c r="A1365" t="s">
        <v>99</v>
      </c>
      <c r="B1365" s="7">
        <v>22</v>
      </c>
      <c r="C1365" t="s">
        <v>196</v>
      </c>
      <c r="D1365" s="13">
        <v>1.6400000000000001E-2</v>
      </c>
      <c r="E1365"/>
      <c r="F1365"/>
      <c r="G1365"/>
    </row>
    <row r="1366" spans="1:7" x14ac:dyDescent="0.3">
      <c r="A1366" t="s">
        <v>99</v>
      </c>
      <c r="B1366" s="7">
        <v>22</v>
      </c>
      <c r="C1366" t="s">
        <v>175</v>
      </c>
      <c r="D1366" t="s">
        <v>176</v>
      </c>
      <c r="E1366" t="s">
        <v>177</v>
      </c>
      <c r="F1366"/>
      <c r="G1366"/>
    </row>
    <row r="1367" spans="1:7" x14ac:dyDescent="0.3">
      <c r="A1367" t="s">
        <v>99</v>
      </c>
      <c r="B1367" s="7">
        <v>22</v>
      </c>
      <c r="C1367" t="s">
        <v>178</v>
      </c>
      <c r="D1367" t="s">
        <v>174</v>
      </c>
      <c r="E1367" s="11">
        <v>1686615.37</v>
      </c>
      <c r="F1367" s="11">
        <v>360373.26</v>
      </c>
      <c r="G1367"/>
    </row>
    <row r="1368" spans="1:7" x14ac:dyDescent="0.3">
      <c r="A1368" t="s">
        <v>99</v>
      </c>
      <c r="B1368" s="7">
        <v>22</v>
      </c>
      <c r="C1368" t="s">
        <v>179</v>
      </c>
      <c r="D1368" s="13">
        <v>3.9600000000000003E-2</v>
      </c>
      <c r="E1368" s="13">
        <v>3.3599999999999998E-2</v>
      </c>
      <c r="F1368" s="13">
        <v>6.0000000000000001E-3</v>
      </c>
      <c r="G1368"/>
    </row>
    <row r="1369" spans="1:7" x14ac:dyDescent="0.3">
      <c r="A1369" t="s">
        <v>99</v>
      </c>
      <c r="B1369" s="7">
        <v>22</v>
      </c>
      <c r="C1369" t="s">
        <v>245</v>
      </c>
      <c r="D1369">
        <v>6785.88</v>
      </c>
      <c r="E1369"/>
      <c r="F1369"/>
      <c r="G1369"/>
    </row>
    <row r="1370" spans="1:7" x14ac:dyDescent="0.3">
      <c r="A1370" s="10" t="s">
        <v>99</v>
      </c>
      <c r="B1370" s="7">
        <v>22</v>
      </c>
      <c r="C1370" s="10" t="s">
        <v>20</v>
      </c>
      <c r="D1370" s="10" t="s">
        <v>175</v>
      </c>
      <c r="E1370" s="10" t="s">
        <v>176</v>
      </c>
      <c r="F1370" s="10" t="s">
        <v>177</v>
      </c>
      <c r="G1370"/>
    </row>
    <row r="1371" spans="1:7" x14ac:dyDescent="0.3">
      <c r="A1371" t="s">
        <v>99</v>
      </c>
      <c r="B1371" s="7">
        <v>22</v>
      </c>
      <c r="C1371" t="s">
        <v>47</v>
      </c>
      <c r="D1371" s="15">
        <v>2135012.5499999998</v>
      </c>
      <c r="E1371" s="11">
        <v>2086278.06</v>
      </c>
      <c r="F1371" s="11">
        <v>48734.5</v>
      </c>
      <c r="G1371"/>
    </row>
    <row r="1372" spans="1:7" x14ac:dyDescent="0.3">
      <c r="A1372" t="s">
        <v>99</v>
      </c>
      <c r="B1372" s="7">
        <v>22</v>
      </c>
      <c r="C1372" t="s">
        <v>48</v>
      </c>
      <c r="D1372" s="15">
        <v>657919.12</v>
      </c>
      <c r="E1372" s="11">
        <v>587310.68000000005</v>
      </c>
      <c r="F1372" s="11">
        <v>70608.44</v>
      </c>
      <c r="G1372"/>
    </row>
    <row r="1373" spans="1:7" x14ac:dyDescent="0.3">
      <c r="A1373" t="s">
        <v>96</v>
      </c>
      <c r="B1373" s="7">
        <v>21</v>
      </c>
      <c r="C1373" t="s">
        <v>194</v>
      </c>
      <c r="D1373" s="15">
        <v>51581914</v>
      </c>
    </row>
    <row r="1374" spans="1:7" x14ac:dyDescent="0.3">
      <c r="A1374" t="s">
        <v>96</v>
      </c>
      <c r="B1374" s="7">
        <v>21</v>
      </c>
      <c r="C1374" t="s">
        <v>181</v>
      </c>
      <c r="D1374" s="15">
        <v>3528598</v>
      </c>
    </row>
    <row r="1375" spans="1:7" x14ac:dyDescent="0.3">
      <c r="A1375" t="s">
        <v>96</v>
      </c>
      <c r="B1375" s="7">
        <v>21</v>
      </c>
      <c r="C1375" t="s">
        <v>182</v>
      </c>
      <c r="D1375" s="15">
        <v>139891</v>
      </c>
    </row>
    <row r="1376" spans="1:7" x14ac:dyDescent="0.3">
      <c r="A1376" t="s">
        <v>96</v>
      </c>
      <c r="B1376" s="7">
        <v>21</v>
      </c>
      <c r="C1376" t="s">
        <v>209</v>
      </c>
      <c r="D1376" s="15">
        <v>23721</v>
      </c>
    </row>
    <row r="1377" spans="1:4" x14ac:dyDescent="0.3">
      <c r="A1377" t="s">
        <v>96</v>
      </c>
      <c r="B1377" s="7">
        <v>21</v>
      </c>
      <c r="C1377" t="s">
        <v>210</v>
      </c>
      <c r="D1377" s="15">
        <v>490848</v>
      </c>
    </row>
    <row r="1378" spans="1:4" x14ac:dyDescent="0.3">
      <c r="A1378" t="s">
        <v>96</v>
      </c>
      <c r="B1378" s="7">
        <v>21</v>
      </c>
      <c r="C1378" t="s">
        <v>211</v>
      </c>
      <c r="D1378" s="15">
        <v>1657512</v>
      </c>
    </row>
    <row r="1379" spans="1:4" x14ac:dyDescent="0.3">
      <c r="A1379" t="s">
        <v>96</v>
      </c>
      <c r="B1379" s="7">
        <v>21</v>
      </c>
      <c r="C1379" t="s">
        <v>197</v>
      </c>
      <c r="D1379" s="15">
        <v>4395786</v>
      </c>
    </row>
    <row r="1380" spans="1:4" x14ac:dyDescent="0.3">
      <c r="A1380" t="s">
        <v>96</v>
      </c>
      <c r="B1380" s="7">
        <v>21</v>
      </c>
      <c r="C1380" t="s">
        <v>213</v>
      </c>
    </row>
    <row r="1381" spans="1:4" x14ac:dyDescent="0.3">
      <c r="A1381" t="s">
        <v>96</v>
      </c>
      <c r="B1381" s="7">
        <v>21</v>
      </c>
      <c r="C1381" t="s">
        <v>24</v>
      </c>
      <c r="D1381" s="15" t="s">
        <v>56</v>
      </c>
    </row>
    <row r="1382" spans="1:4" x14ac:dyDescent="0.3">
      <c r="A1382" t="s">
        <v>96</v>
      </c>
      <c r="B1382" s="7">
        <v>21</v>
      </c>
      <c r="C1382" t="s">
        <v>25</v>
      </c>
      <c r="D1382" s="15" t="s">
        <v>56</v>
      </c>
    </row>
    <row r="1383" spans="1:4" x14ac:dyDescent="0.3">
      <c r="A1383" t="s">
        <v>96</v>
      </c>
      <c r="B1383" s="7">
        <v>21</v>
      </c>
      <c r="C1383" t="s">
        <v>26</v>
      </c>
      <c r="D1383" s="15">
        <v>837022</v>
      </c>
    </row>
    <row r="1384" spans="1:4" x14ac:dyDescent="0.3">
      <c r="A1384" t="s">
        <v>96</v>
      </c>
      <c r="B1384" s="7">
        <v>21</v>
      </c>
      <c r="C1384" t="s">
        <v>27</v>
      </c>
      <c r="D1384" s="15">
        <v>-391043</v>
      </c>
    </row>
    <row r="1385" spans="1:4" x14ac:dyDescent="0.3">
      <c r="A1385" t="s">
        <v>96</v>
      </c>
      <c r="B1385" s="7">
        <v>21</v>
      </c>
      <c r="C1385" t="s">
        <v>198</v>
      </c>
      <c r="D1385" s="15" t="s">
        <v>56</v>
      </c>
    </row>
    <row r="1386" spans="1:4" x14ac:dyDescent="0.3">
      <c r="A1386" t="s">
        <v>96</v>
      </c>
      <c r="B1386" s="7">
        <v>21</v>
      </c>
      <c r="C1386" t="s">
        <v>28</v>
      </c>
      <c r="D1386" s="15">
        <v>214286</v>
      </c>
    </row>
    <row r="1387" spans="1:4" x14ac:dyDescent="0.3">
      <c r="A1387" t="s">
        <v>96</v>
      </c>
      <c r="B1387" s="7">
        <v>21</v>
      </c>
      <c r="C1387" t="s">
        <v>29</v>
      </c>
    </row>
    <row r="1388" spans="1:4" x14ac:dyDescent="0.3">
      <c r="A1388" t="s">
        <v>96</v>
      </c>
      <c r="B1388" s="7">
        <v>21</v>
      </c>
      <c r="C1388" t="s">
        <v>30</v>
      </c>
    </row>
    <row r="1389" spans="1:4" x14ac:dyDescent="0.3">
      <c r="A1389" t="s">
        <v>96</v>
      </c>
      <c r="B1389" s="7">
        <v>21</v>
      </c>
      <c r="C1389" t="s">
        <v>53</v>
      </c>
      <c r="D1389" s="15">
        <v>-153000</v>
      </c>
    </row>
    <row r="1390" spans="1:4" x14ac:dyDescent="0.3">
      <c r="A1390" t="s">
        <v>96</v>
      </c>
      <c r="B1390" s="7">
        <v>21</v>
      </c>
      <c r="C1390" t="s">
        <v>31</v>
      </c>
      <c r="D1390" s="15">
        <v>4903051</v>
      </c>
    </row>
    <row r="1391" spans="1:4" x14ac:dyDescent="0.3">
      <c r="A1391" t="s">
        <v>96</v>
      </c>
      <c r="B1391" s="7">
        <v>21</v>
      </c>
      <c r="C1391" t="s">
        <v>54</v>
      </c>
      <c r="D1391" s="15">
        <v>1500000</v>
      </c>
    </row>
    <row r="1392" spans="1:4" x14ac:dyDescent="0.3">
      <c r="A1392" t="s">
        <v>96</v>
      </c>
      <c r="B1392" s="7">
        <v>21</v>
      </c>
      <c r="C1392" t="s">
        <v>199</v>
      </c>
      <c r="D1392" s="15">
        <v>644774</v>
      </c>
    </row>
    <row r="1393" spans="1:9" x14ac:dyDescent="0.3">
      <c r="A1393" t="s">
        <v>96</v>
      </c>
      <c r="B1393" s="7">
        <v>21</v>
      </c>
      <c r="C1393" t="s">
        <v>32</v>
      </c>
      <c r="D1393" s="15">
        <v>7183</v>
      </c>
    </row>
    <row r="1394" spans="1:9" x14ac:dyDescent="0.3">
      <c r="A1394" t="s">
        <v>96</v>
      </c>
      <c r="B1394" s="7">
        <v>21</v>
      </c>
      <c r="C1394" t="s">
        <v>33</v>
      </c>
      <c r="D1394" s="15">
        <v>300</v>
      </c>
    </row>
    <row r="1395" spans="1:9" x14ac:dyDescent="0.3">
      <c r="A1395" t="s">
        <v>96</v>
      </c>
      <c r="B1395" s="7">
        <v>21</v>
      </c>
      <c r="C1395" t="s">
        <v>230</v>
      </c>
      <c r="D1395" s="15">
        <v>111565</v>
      </c>
    </row>
    <row r="1396" spans="1:9" x14ac:dyDescent="0.3">
      <c r="A1396" t="s">
        <v>96</v>
      </c>
      <c r="B1396" s="7">
        <v>21</v>
      </c>
      <c r="C1396" t="s">
        <v>231</v>
      </c>
      <c r="D1396" s="15">
        <v>146229</v>
      </c>
    </row>
    <row r="1397" spans="1:9" x14ac:dyDescent="0.3">
      <c r="A1397" t="s">
        <v>96</v>
      </c>
      <c r="B1397" s="7">
        <v>21</v>
      </c>
      <c r="C1397" t="s">
        <v>54</v>
      </c>
      <c r="D1397" s="15">
        <v>1500000</v>
      </c>
    </row>
    <row r="1398" spans="1:9" x14ac:dyDescent="0.3">
      <c r="A1398" t="s">
        <v>96</v>
      </c>
      <c r="B1398" s="7">
        <v>21</v>
      </c>
      <c r="C1398" t="s">
        <v>214</v>
      </c>
      <c r="D1398" s="15">
        <v>153000</v>
      </c>
    </row>
    <row r="1399" spans="1:9" x14ac:dyDescent="0.3">
      <c r="A1399" t="s">
        <v>96</v>
      </c>
      <c r="B1399" s="7">
        <v>21</v>
      </c>
      <c r="C1399" t="s">
        <v>55</v>
      </c>
      <c r="D1399" s="3" t="s">
        <v>56</v>
      </c>
    </row>
    <row r="1400" spans="1:9" x14ac:dyDescent="0.3">
      <c r="A1400" t="s">
        <v>96</v>
      </c>
      <c r="B1400" s="7">
        <v>21</v>
      </c>
      <c r="C1400" t="s">
        <v>35</v>
      </c>
      <c r="D1400" s="15">
        <v>4903051</v>
      </c>
      <c r="F1400" s="3">
        <f>D1400*1000</f>
        <v>4903051000</v>
      </c>
      <c r="G1400" s="24">
        <v>1025408915</v>
      </c>
    </row>
    <row r="1401" spans="1:9" x14ac:dyDescent="0.3">
      <c r="A1401" t="s">
        <v>96</v>
      </c>
      <c r="B1401" s="7">
        <v>21</v>
      </c>
      <c r="C1401" t="s">
        <v>36</v>
      </c>
      <c r="D1401" s="15">
        <v>2410050</v>
      </c>
      <c r="G1401" s="24">
        <v>34880000</v>
      </c>
    </row>
    <row r="1402" spans="1:9" x14ac:dyDescent="0.3">
      <c r="A1402" t="s">
        <v>96</v>
      </c>
      <c r="B1402" s="7">
        <v>21</v>
      </c>
      <c r="C1402" t="s">
        <v>37</v>
      </c>
      <c r="D1402" s="15">
        <v>7313101</v>
      </c>
      <c r="G1402" s="24">
        <v>41730000</v>
      </c>
    </row>
    <row r="1403" spans="1:9" x14ac:dyDescent="0.3">
      <c r="A1403" t="s">
        <v>96</v>
      </c>
      <c r="B1403" s="7">
        <v>21</v>
      </c>
      <c r="C1403" t="s">
        <v>38</v>
      </c>
      <c r="D1403" s="20">
        <v>8.5400000000000004E-2</v>
      </c>
      <c r="G1403" s="24">
        <v>8360000</v>
      </c>
    </row>
    <row r="1404" spans="1:9" x14ac:dyDescent="0.3">
      <c r="A1404" t="s">
        <v>96</v>
      </c>
      <c r="B1404" s="7">
        <v>21</v>
      </c>
      <c r="C1404" t="s">
        <v>39</v>
      </c>
      <c r="D1404" s="20">
        <v>0.12740000000000001</v>
      </c>
      <c r="G1404" s="25">
        <f>SUM(G1400:G1403)</f>
        <v>1110378915</v>
      </c>
      <c r="I1404" s="26">
        <f>G1404/F1400</f>
        <v>0.22646693150856476</v>
      </c>
    </row>
    <row r="1405" spans="1:9" x14ac:dyDescent="0.3">
      <c r="A1405" t="s">
        <v>96</v>
      </c>
      <c r="B1405" s="7">
        <v>21</v>
      </c>
      <c r="C1405" t="s">
        <v>194</v>
      </c>
      <c r="D1405" s="15">
        <v>51581914</v>
      </c>
    </row>
    <row r="1406" spans="1:9" x14ac:dyDescent="0.3">
      <c r="A1406" t="s">
        <v>96</v>
      </c>
      <c r="B1406" s="7">
        <v>21</v>
      </c>
      <c r="C1406" t="s">
        <v>181</v>
      </c>
      <c r="D1406" s="15">
        <v>3528598</v>
      </c>
    </row>
    <row r="1407" spans="1:9" x14ac:dyDescent="0.3">
      <c r="A1407" t="s">
        <v>96</v>
      </c>
      <c r="B1407" s="7">
        <v>21</v>
      </c>
      <c r="C1407" t="s">
        <v>182</v>
      </c>
      <c r="D1407" s="15">
        <v>139891</v>
      </c>
    </row>
    <row r="1408" spans="1:9" x14ac:dyDescent="0.3">
      <c r="A1408" t="s">
        <v>96</v>
      </c>
      <c r="B1408" s="7">
        <v>21</v>
      </c>
      <c r="C1408" t="s">
        <v>209</v>
      </c>
      <c r="D1408" s="15">
        <v>23721</v>
      </c>
    </row>
    <row r="1409" spans="1:6" x14ac:dyDescent="0.3">
      <c r="A1409" t="s">
        <v>96</v>
      </c>
      <c r="B1409" s="7">
        <v>21</v>
      </c>
      <c r="C1409" t="s">
        <v>210</v>
      </c>
      <c r="D1409" s="15">
        <v>490848</v>
      </c>
    </row>
    <row r="1410" spans="1:6" x14ac:dyDescent="0.3">
      <c r="A1410" t="s">
        <v>96</v>
      </c>
      <c r="B1410" s="7">
        <v>21</v>
      </c>
      <c r="C1410" t="s">
        <v>211</v>
      </c>
      <c r="D1410" s="15">
        <v>1657512</v>
      </c>
    </row>
    <row r="1411" spans="1:6" x14ac:dyDescent="0.3">
      <c r="A1411" s="10" t="s">
        <v>96</v>
      </c>
      <c r="B1411" s="7">
        <v>21</v>
      </c>
      <c r="C1411" s="10" t="s">
        <v>20</v>
      </c>
      <c r="D1411" s="21" t="s">
        <v>151</v>
      </c>
    </row>
    <row r="1412" spans="1:6" x14ac:dyDescent="0.3">
      <c r="A1412" t="s">
        <v>96</v>
      </c>
      <c r="B1412" s="7">
        <v>21</v>
      </c>
      <c r="C1412" t="s">
        <v>184</v>
      </c>
      <c r="D1412" s="15" t="s">
        <v>56</v>
      </c>
    </row>
    <row r="1413" spans="1:6" x14ac:dyDescent="0.3">
      <c r="A1413" t="s">
        <v>96</v>
      </c>
      <c r="B1413" s="7" t="e">
        <v>#REF!</v>
      </c>
      <c r="C1413" t="s">
        <v>185</v>
      </c>
      <c r="D1413" s="15" t="s">
        <v>56</v>
      </c>
    </row>
    <row r="1414" spans="1:6" x14ac:dyDescent="0.3">
      <c r="A1414" t="s">
        <v>96</v>
      </c>
      <c r="B1414" s="7">
        <v>21</v>
      </c>
      <c r="C1414" t="s">
        <v>186</v>
      </c>
      <c r="D1414" s="15">
        <v>855455.99</v>
      </c>
    </row>
    <row r="1415" spans="1:6" x14ac:dyDescent="0.3">
      <c r="A1415" t="s">
        <v>96</v>
      </c>
      <c r="B1415" s="7">
        <v>21</v>
      </c>
      <c r="C1415" t="s">
        <v>187</v>
      </c>
      <c r="D1415" s="15">
        <v>3911282.19</v>
      </c>
    </row>
    <row r="1416" spans="1:6" x14ac:dyDescent="0.3">
      <c r="A1416" t="s">
        <v>96</v>
      </c>
      <c r="B1416" s="7">
        <v>21</v>
      </c>
      <c r="C1416" t="s">
        <v>188</v>
      </c>
      <c r="D1416" s="18">
        <v>15218094.92</v>
      </c>
    </row>
    <row r="1417" spans="1:6" x14ac:dyDescent="0.3">
      <c r="A1417" t="s">
        <v>96</v>
      </c>
      <c r="B1417" s="7">
        <v>21</v>
      </c>
      <c r="C1417" t="s">
        <v>189</v>
      </c>
      <c r="D1417" s="15">
        <v>3697512.04</v>
      </c>
    </row>
    <row r="1418" spans="1:6" x14ac:dyDescent="0.3">
      <c r="A1418" t="s">
        <v>96</v>
      </c>
      <c r="B1418" s="7">
        <v>21</v>
      </c>
      <c r="C1418" t="s">
        <v>190</v>
      </c>
      <c r="D1418" s="15">
        <v>210766.63</v>
      </c>
    </row>
    <row r="1419" spans="1:6" x14ac:dyDescent="0.3">
      <c r="A1419" t="s">
        <v>96</v>
      </c>
      <c r="B1419" s="7">
        <v>21</v>
      </c>
      <c r="C1419" t="s">
        <v>191</v>
      </c>
      <c r="D1419" s="15">
        <v>16614709.359999999</v>
      </c>
    </row>
    <row r="1420" spans="1:6" x14ac:dyDescent="0.3">
      <c r="A1420" t="s">
        <v>96</v>
      </c>
      <c r="B1420" s="7">
        <v>21</v>
      </c>
      <c r="C1420" t="s">
        <v>192</v>
      </c>
      <c r="D1420" s="15">
        <v>3452471.35</v>
      </c>
    </row>
    <row r="1421" spans="1:6" x14ac:dyDescent="0.3">
      <c r="A1421" t="s">
        <v>96</v>
      </c>
      <c r="B1421" s="7">
        <v>21</v>
      </c>
      <c r="C1421" t="s">
        <v>40</v>
      </c>
      <c r="D1421" s="15">
        <v>1094657.94</v>
      </c>
    </row>
    <row r="1422" spans="1:6" x14ac:dyDescent="0.3">
      <c r="A1422" t="s">
        <v>96</v>
      </c>
      <c r="B1422" s="7">
        <v>21</v>
      </c>
      <c r="C1422" t="s">
        <v>41</v>
      </c>
      <c r="D1422" s="15">
        <v>6263776.8399999999</v>
      </c>
    </row>
    <row r="1423" spans="1:6" x14ac:dyDescent="0.3">
      <c r="A1423" t="s">
        <v>96</v>
      </c>
      <c r="B1423" s="7" t="e">
        <v>#REF!</v>
      </c>
      <c r="C1423" t="s">
        <v>193</v>
      </c>
      <c r="D1423" s="15">
        <v>263186.48</v>
      </c>
    </row>
    <row r="1424" spans="1:6" x14ac:dyDescent="0.3">
      <c r="A1424" t="s">
        <v>96</v>
      </c>
      <c r="B1424" s="7">
        <v>21</v>
      </c>
      <c r="C1424" t="s">
        <v>42</v>
      </c>
      <c r="D1424" s="3" t="s">
        <v>56</v>
      </c>
      <c r="E1424" s="3" t="s">
        <v>56</v>
      </c>
      <c r="F1424" s="3" t="s">
        <v>56</v>
      </c>
    </row>
    <row r="1425" spans="1:6" x14ac:dyDescent="0.3">
      <c r="A1425" t="s">
        <v>96</v>
      </c>
      <c r="B1425" s="7">
        <v>21</v>
      </c>
      <c r="C1425" t="s">
        <v>43</v>
      </c>
      <c r="D1425" s="15">
        <v>213143</v>
      </c>
      <c r="E1425" s="3">
        <v>47266</v>
      </c>
      <c r="F1425" s="3">
        <v>165876</v>
      </c>
    </row>
    <row r="1426" spans="1:6" x14ac:dyDescent="0.3">
      <c r="A1426" t="s">
        <v>96</v>
      </c>
      <c r="B1426" s="7">
        <v>21</v>
      </c>
      <c r="C1426" t="s">
        <v>44</v>
      </c>
      <c r="D1426" s="15">
        <v>746151</v>
      </c>
      <c r="E1426" s="3">
        <v>350075</v>
      </c>
      <c r="F1426" s="3">
        <v>396076</v>
      </c>
    </row>
    <row r="1427" spans="1:6" x14ac:dyDescent="0.3">
      <c r="A1427" t="s">
        <v>96</v>
      </c>
      <c r="B1427" s="7" t="e">
        <v>#REF!</v>
      </c>
      <c r="C1427" t="s">
        <v>45</v>
      </c>
      <c r="D1427" s="15">
        <v>1563755</v>
      </c>
      <c r="E1427" s="3">
        <v>1462281</v>
      </c>
      <c r="F1427" s="3">
        <v>101474</v>
      </c>
    </row>
    <row r="1428" spans="1:6" x14ac:dyDescent="0.3">
      <c r="A1428" t="s">
        <v>96</v>
      </c>
      <c r="B1428" s="7">
        <v>21</v>
      </c>
      <c r="C1428" t="s">
        <v>195</v>
      </c>
      <c r="D1428" s="20">
        <v>4.9799999999999997E-2</v>
      </c>
    </row>
    <row r="1429" spans="1:6" x14ac:dyDescent="0.3">
      <c r="A1429" t="s">
        <v>96</v>
      </c>
      <c r="B1429" s="7">
        <v>21</v>
      </c>
      <c r="C1429" t="s">
        <v>196</v>
      </c>
      <c r="D1429" s="20">
        <v>1.3100000000000001E-2</v>
      </c>
    </row>
    <row r="1430" spans="1:6" x14ac:dyDescent="0.3">
      <c r="A1430" t="s">
        <v>96</v>
      </c>
      <c r="B1430" s="7">
        <v>21</v>
      </c>
      <c r="C1430" t="s">
        <v>42</v>
      </c>
      <c r="D1430" s="3" t="s">
        <v>56</v>
      </c>
      <c r="E1430" s="3" t="s">
        <v>56</v>
      </c>
      <c r="F1430" s="3" t="s">
        <v>56</v>
      </c>
    </row>
    <row r="1431" spans="1:6" x14ac:dyDescent="0.3">
      <c r="A1431" t="s">
        <v>96</v>
      </c>
      <c r="B1431" s="7">
        <v>21</v>
      </c>
      <c r="C1431" t="s">
        <v>43</v>
      </c>
      <c r="D1431" s="15">
        <v>213143</v>
      </c>
      <c r="E1431" s="3">
        <v>688572</v>
      </c>
      <c r="F1431" s="3">
        <v>-475429</v>
      </c>
    </row>
    <row r="1432" spans="1:6" x14ac:dyDescent="0.3">
      <c r="A1432" t="s">
        <v>96</v>
      </c>
      <c r="B1432" s="7">
        <v>21</v>
      </c>
      <c r="C1432" t="s">
        <v>44</v>
      </c>
      <c r="D1432" s="15">
        <v>746151</v>
      </c>
      <c r="E1432" s="3">
        <v>446047</v>
      </c>
      <c r="F1432" s="3">
        <v>300103</v>
      </c>
    </row>
    <row r="1433" spans="1:6" x14ac:dyDescent="0.3">
      <c r="A1433" t="s">
        <v>96</v>
      </c>
      <c r="B1433" s="7">
        <v>21</v>
      </c>
      <c r="C1433" t="s">
        <v>45</v>
      </c>
      <c r="D1433" s="15">
        <v>1563755</v>
      </c>
      <c r="E1433" s="3">
        <v>1405385</v>
      </c>
      <c r="F1433" s="3">
        <v>158370</v>
      </c>
    </row>
    <row r="1434" spans="1:6" x14ac:dyDescent="0.3">
      <c r="A1434" t="s">
        <v>96</v>
      </c>
      <c r="B1434" s="7">
        <v>21</v>
      </c>
      <c r="C1434" t="s">
        <v>200</v>
      </c>
      <c r="D1434" s="3" t="s">
        <v>56</v>
      </c>
    </row>
    <row r="1435" spans="1:6" x14ac:dyDescent="0.3">
      <c r="A1435" t="s">
        <v>96</v>
      </c>
      <c r="B1435" s="7">
        <v>21</v>
      </c>
      <c r="C1435" t="s">
        <v>201</v>
      </c>
      <c r="D1435" s="3" t="s">
        <v>56</v>
      </c>
    </row>
    <row r="1436" spans="1:6" x14ac:dyDescent="0.3">
      <c r="A1436" s="10" t="s">
        <v>96</v>
      </c>
      <c r="B1436" s="7">
        <v>21</v>
      </c>
      <c r="C1436" s="10" t="s">
        <v>46</v>
      </c>
      <c r="D1436" s="21" t="s">
        <v>152</v>
      </c>
      <c r="E1436" s="6" t="s">
        <v>94</v>
      </c>
      <c r="F1436" s="6" t="s">
        <v>59</v>
      </c>
    </row>
    <row r="1437" spans="1:6" x14ac:dyDescent="0.3">
      <c r="A1437" t="s">
        <v>96</v>
      </c>
      <c r="B1437" s="7">
        <v>21</v>
      </c>
      <c r="C1437" t="s">
        <v>47</v>
      </c>
      <c r="D1437" s="15">
        <v>2877835</v>
      </c>
      <c r="E1437" s="3">
        <v>3078125</v>
      </c>
      <c r="F1437" s="3">
        <v>-200291</v>
      </c>
    </row>
    <row r="1438" spans="1:6" x14ac:dyDescent="0.3">
      <c r="A1438" t="s">
        <v>96</v>
      </c>
      <c r="B1438" s="7">
        <v>21</v>
      </c>
      <c r="C1438" t="s">
        <v>48</v>
      </c>
      <c r="D1438" s="15">
        <v>1544369</v>
      </c>
      <c r="E1438" s="3">
        <v>1545339</v>
      </c>
      <c r="F1438" s="3">
        <v>-970</v>
      </c>
    </row>
  </sheetData>
  <autoFilter ref="A1:G1438" xr:uid="{00000000-0001-0000-0000-000000000000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2D8F-C7D0-4CDA-BE90-DF02049ACF47}">
  <dimension ref="A1:C22"/>
  <sheetViews>
    <sheetView workbookViewId="0">
      <selection activeCell="B5" sqref="B5"/>
    </sheetView>
  </sheetViews>
  <sheetFormatPr defaultRowHeight="14.4" x14ac:dyDescent="0.3"/>
  <cols>
    <col min="1" max="1" width="11.6640625" bestFit="1" customWidth="1"/>
    <col min="2" max="2" width="28.88671875" bestFit="1" customWidth="1"/>
    <col min="3" max="3" width="26.109375" bestFit="1" customWidth="1"/>
  </cols>
  <sheetData>
    <row r="1" spans="1:3" x14ac:dyDescent="0.3">
      <c r="A1" s="1" t="s">
        <v>120</v>
      </c>
      <c r="B1" s="19" t="s">
        <v>195</v>
      </c>
      <c r="C1" s="10" t="s">
        <v>196</v>
      </c>
    </row>
    <row r="2" spans="1:3" x14ac:dyDescent="0.3">
      <c r="A2" t="s">
        <v>97</v>
      </c>
      <c r="B2" s="20">
        <v>8.3000000000000001E-3</v>
      </c>
      <c r="C2" s="13">
        <v>7.4999999999999997E-3</v>
      </c>
    </row>
    <row r="3" spans="1:3" x14ac:dyDescent="0.3">
      <c r="A3" t="s">
        <v>114</v>
      </c>
      <c r="B3" s="20">
        <v>8.0000000000000002E-3</v>
      </c>
      <c r="C3" s="13">
        <v>4.1999999999999997E-3</v>
      </c>
    </row>
    <row r="4" spans="1:3" x14ac:dyDescent="0.3">
      <c r="A4" t="s">
        <v>111</v>
      </c>
      <c r="B4" s="20">
        <v>7.6E-3</v>
      </c>
      <c r="C4" s="13">
        <v>4.3E-3</v>
      </c>
    </row>
    <row r="5" spans="1:3" x14ac:dyDescent="0.3">
      <c r="A5" t="s">
        <v>110</v>
      </c>
      <c r="B5" s="20">
        <v>6.7999999999999996E-3</v>
      </c>
      <c r="C5" s="13">
        <v>2.5000000000000001E-3</v>
      </c>
    </row>
    <row r="6" spans="1:3" x14ac:dyDescent="0.3">
      <c r="A6" t="s">
        <v>101</v>
      </c>
      <c r="B6" s="20">
        <v>6.4999999999999997E-3</v>
      </c>
      <c r="C6" s="13">
        <v>1.2999999999999999E-3</v>
      </c>
    </row>
    <row r="7" spans="1:3" x14ac:dyDescent="0.3">
      <c r="A7" t="s">
        <v>113</v>
      </c>
      <c r="B7" s="20">
        <v>6.7999999999999996E-3</v>
      </c>
      <c r="C7" s="13">
        <v>1.6000000000000001E-3</v>
      </c>
    </row>
    <row r="8" spans="1:3" x14ac:dyDescent="0.3">
      <c r="A8" t="s">
        <v>112</v>
      </c>
      <c r="B8" s="20">
        <v>5.7999999999999996E-3</v>
      </c>
      <c r="C8" s="13">
        <v>1.5E-3</v>
      </c>
    </row>
    <row r="9" spans="1:3" x14ac:dyDescent="0.3">
      <c r="A9" t="s">
        <v>104</v>
      </c>
      <c r="B9" s="20">
        <v>8.0000000000000002E-3</v>
      </c>
      <c r="C9" s="13">
        <v>3.0999999999999999E-3</v>
      </c>
    </row>
    <row r="10" spans="1:3" x14ac:dyDescent="0.3">
      <c r="A10" t="s">
        <v>98</v>
      </c>
      <c r="B10" s="20">
        <v>6.7999999999999996E-3</v>
      </c>
      <c r="C10" s="13">
        <v>2.7000000000000001E-3</v>
      </c>
    </row>
    <row r="11" spans="1:3" x14ac:dyDescent="0.3">
      <c r="A11" t="s">
        <v>103</v>
      </c>
      <c r="B11" s="20">
        <v>1.47E-2</v>
      </c>
      <c r="C11" s="13">
        <v>8.5000000000000006E-3</v>
      </c>
    </row>
    <row r="12" spans="1:3" x14ac:dyDescent="0.3">
      <c r="A12" t="s">
        <v>109</v>
      </c>
      <c r="B12" s="20">
        <v>1.37E-2</v>
      </c>
      <c r="C12" s="13">
        <v>8.3999999999999995E-3</v>
      </c>
    </row>
    <row r="13" spans="1:3" x14ac:dyDescent="0.3">
      <c r="A13" t="s">
        <v>108</v>
      </c>
      <c r="B13" s="20">
        <v>1.4200000000000001E-2</v>
      </c>
      <c r="C13" s="13">
        <v>7.0000000000000001E-3</v>
      </c>
    </row>
    <row r="14" spans="1:3" x14ac:dyDescent="0.3">
      <c r="A14" t="s">
        <v>100</v>
      </c>
      <c r="B14" s="20">
        <v>2.5000000000000001E-2</v>
      </c>
      <c r="C14" s="13">
        <v>1.3899999999999999E-2</v>
      </c>
    </row>
    <row r="15" spans="1:3" x14ac:dyDescent="0.3">
      <c r="A15" t="s">
        <v>107</v>
      </c>
      <c r="B15" s="20">
        <v>3.5299999999999998E-2</v>
      </c>
      <c r="C15" s="13">
        <v>1.8599999999999998E-2</v>
      </c>
    </row>
    <row r="16" spans="1:3" x14ac:dyDescent="0.3">
      <c r="A16" t="s">
        <v>105</v>
      </c>
      <c r="B16" s="20">
        <v>3.8899999999999997E-2</v>
      </c>
      <c r="C16" s="13">
        <v>2.12E-2</v>
      </c>
    </row>
    <row r="17" spans="1:3" x14ac:dyDescent="0.3">
      <c r="A17" t="s">
        <v>102</v>
      </c>
      <c r="B17" s="20">
        <v>3.7499999999999999E-2</v>
      </c>
      <c r="C17" s="13">
        <v>1.7999999999999999E-2</v>
      </c>
    </row>
    <row r="18" spans="1:3" x14ac:dyDescent="0.3">
      <c r="A18" t="s">
        <v>106</v>
      </c>
      <c r="B18" s="20">
        <v>4.8800000000000003E-2</v>
      </c>
      <c r="C18" s="13">
        <v>1.9400000000000001E-2</v>
      </c>
    </row>
    <row r="19" spans="1:3" x14ac:dyDescent="0.3">
      <c r="A19" t="s">
        <v>115</v>
      </c>
      <c r="B19" s="20">
        <v>4.9700000000000001E-2</v>
      </c>
      <c r="C19" s="13">
        <v>1.7500000000000002E-2</v>
      </c>
    </row>
    <row r="20" spans="1:3" x14ac:dyDescent="0.3">
      <c r="A20" t="s">
        <v>119</v>
      </c>
      <c r="B20" s="20">
        <v>4.9500000000000002E-2</v>
      </c>
      <c r="C20" s="13">
        <v>1.4500000000000001E-2</v>
      </c>
    </row>
    <row r="21" spans="1:3" x14ac:dyDescent="0.3">
      <c r="A21" t="s">
        <v>99</v>
      </c>
      <c r="B21" s="20">
        <v>4.9799999999999997E-2</v>
      </c>
      <c r="C21" s="13">
        <v>1.7399999999999999E-2</v>
      </c>
    </row>
    <row r="22" spans="1:3" x14ac:dyDescent="0.3">
      <c r="A22" t="s">
        <v>96</v>
      </c>
      <c r="B22" s="20">
        <v>4.9799999999999997E-2</v>
      </c>
      <c r="C22" s="13">
        <v>1.3100000000000001E-2</v>
      </c>
    </row>
  </sheetData>
  <autoFilter ref="A1:C22" xr:uid="{23E839A3-F63C-4A2D-B3F4-AC9E497D86F0}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F776D-12B0-4B4A-A924-4DDA3CA1B3AD}">
  <dimension ref="A1:E23"/>
  <sheetViews>
    <sheetView workbookViewId="0">
      <selection activeCell="A10" sqref="A10"/>
    </sheetView>
  </sheetViews>
  <sheetFormatPr defaultRowHeight="14.4" x14ac:dyDescent="0.3"/>
  <cols>
    <col min="1" max="1" width="45.88671875" bestFit="1" customWidth="1"/>
    <col min="2" max="2" width="11.44140625" customWidth="1"/>
    <col min="3" max="3" width="11.6640625" bestFit="1" customWidth="1"/>
    <col min="4" max="4" width="10.88671875" customWidth="1"/>
    <col min="5" max="5" width="10.33203125" bestFit="1" customWidth="1"/>
  </cols>
  <sheetData>
    <row r="1" spans="1:5" x14ac:dyDescent="0.3">
      <c r="A1" s="10" t="s">
        <v>154</v>
      </c>
      <c r="B1" t="s">
        <v>153</v>
      </c>
      <c r="C1" t="s">
        <v>116</v>
      </c>
      <c r="D1" t="s">
        <v>118</v>
      </c>
      <c r="E1" t="s">
        <v>117</v>
      </c>
    </row>
    <row r="2" spans="1:5" x14ac:dyDescent="0.3">
      <c r="A2" t="s">
        <v>0</v>
      </c>
      <c r="B2">
        <v>1</v>
      </c>
      <c r="C2" t="s">
        <v>97</v>
      </c>
      <c r="D2">
        <v>2076</v>
      </c>
    </row>
    <row r="3" spans="1:5" x14ac:dyDescent="0.3">
      <c r="A3" t="s">
        <v>17</v>
      </c>
      <c r="B3">
        <v>2</v>
      </c>
      <c r="C3" t="s">
        <v>114</v>
      </c>
      <c r="D3">
        <v>2076</v>
      </c>
    </row>
    <row r="4" spans="1:5" x14ac:dyDescent="0.3">
      <c r="A4" t="s">
        <v>10</v>
      </c>
      <c r="B4">
        <v>3</v>
      </c>
      <c r="C4" t="s">
        <v>111</v>
      </c>
      <c r="D4">
        <v>2076</v>
      </c>
    </row>
    <row r="5" spans="1:5" x14ac:dyDescent="0.3">
      <c r="A5" t="s">
        <v>9</v>
      </c>
      <c r="B5">
        <v>4</v>
      </c>
      <c r="C5" t="s">
        <v>110</v>
      </c>
      <c r="D5">
        <v>2077</v>
      </c>
    </row>
    <row r="6" spans="1:5" x14ac:dyDescent="0.3">
      <c r="A6" t="s">
        <v>2</v>
      </c>
      <c r="B6">
        <v>5</v>
      </c>
      <c r="C6" t="s">
        <v>101</v>
      </c>
      <c r="D6">
        <v>2077</v>
      </c>
    </row>
    <row r="7" spans="1:5" x14ac:dyDescent="0.3">
      <c r="A7" t="s">
        <v>14</v>
      </c>
      <c r="B7">
        <v>6</v>
      </c>
      <c r="C7" t="s">
        <v>113</v>
      </c>
      <c r="D7">
        <v>2077</v>
      </c>
    </row>
    <row r="8" spans="1:5" x14ac:dyDescent="0.3">
      <c r="A8" t="s">
        <v>13</v>
      </c>
      <c r="B8">
        <v>7</v>
      </c>
      <c r="C8" t="s">
        <v>112</v>
      </c>
      <c r="D8">
        <v>2077</v>
      </c>
    </row>
    <row r="9" spans="1:5" x14ac:dyDescent="0.3">
      <c r="A9" t="s">
        <v>11</v>
      </c>
      <c r="B9">
        <v>8</v>
      </c>
      <c r="C9" t="s">
        <v>104</v>
      </c>
      <c r="D9">
        <v>2078</v>
      </c>
    </row>
    <row r="10" spans="1:5" x14ac:dyDescent="0.3">
      <c r="A10" t="s">
        <v>12</v>
      </c>
      <c r="B10">
        <v>9</v>
      </c>
      <c r="C10" t="s">
        <v>98</v>
      </c>
      <c r="D10">
        <v>2078</v>
      </c>
    </row>
    <row r="11" spans="1:5" x14ac:dyDescent="0.3">
      <c r="A11" t="s">
        <v>1</v>
      </c>
      <c r="B11">
        <v>10</v>
      </c>
      <c r="C11" t="s">
        <v>103</v>
      </c>
      <c r="D11">
        <v>2078</v>
      </c>
    </row>
    <row r="12" spans="1:5" x14ac:dyDescent="0.3">
      <c r="A12" t="s">
        <v>8</v>
      </c>
      <c r="B12">
        <v>11</v>
      </c>
      <c r="C12" t="s">
        <v>109</v>
      </c>
      <c r="D12">
        <v>2078</v>
      </c>
    </row>
    <row r="13" spans="1:5" x14ac:dyDescent="0.3">
      <c r="A13" t="s">
        <v>7</v>
      </c>
      <c r="B13">
        <v>12</v>
      </c>
      <c r="C13" t="s">
        <v>108</v>
      </c>
      <c r="D13">
        <v>2079</v>
      </c>
    </row>
    <row r="14" spans="1:5" x14ac:dyDescent="0.3">
      <c r="A14" t="s">
        <v>4</v>
      </c>
      <c r="B14">
        <v>13</v>
      </c>
      <c r="C14" t="s">
        <v>100</v>
      </c>
      <c r="D14">
        <v>2079</v>
      </c>
    </row>
    <row r="15" spans="1:5" x14ac:dyDescent="0.3">
      <c r="A15" t="s">
        <v>6</v>
      </c>
      <c r="B15">
        <v>14</v>
      </c>
      <c r="C15" t="s">
        <v>107</v>
      </c>
      <c r="D15">
        <v>2079</v>
      </c>
    </row>
    <row r="16" spans="1:5" x14ac:dyDescent="0.3">
      <c r="A16" t="s">
        <v>5</v>
      </c>
      <c r="B16">
        <v>15</v>
      </c>
      <c r="C16" t="s">
        <v>105</v>
      </c>
      <c r="D16">
        <v>2079</v>
      </c>
    </row>
    <row r="17" spans="1:4" x14ac:dyDescent="0.3">
      <c r="B17">
        <v>16</v>
      </c>
      <c r="C17" t="s">
        <v>155</v>
      </c>
      <c r="D17">
        <v>2080</v>
      </c>
    </row>
    <row r="18" spans="1:4" x14ac:dyDescent="0.3">
      <c r="A18" t="s">
        <v>15</v>
      </c>
      <c r="B18">
        <v>17</v>
      </c>
      <c r="C18" t="s">
        <v>102</v>
      </c>
      <c r="D18">
        <v>2080</v>
      </c>
    </row>
    <row r="19" spans="1:4" x14ac:dyDescent="0.3">
      <c r="A19" t="s">
        <v>16</v>
      </c>
      <c r="B19">
        <v>18</v>
      </c>
      <c r="C19" t="s">
        <v>106</v>
      </c>
      <c r="D19">
        <v>2080</v>
      </c>
    </row>
    <row r="20" spans="1:4" x14ac:dyDescent="0.3">
      <c r="A20" t="s">
        <v>18</v>
      </c>
      <c r="B20">
        <v>19</v>
      </c>
      <c r="C20" t="s">
        <v>115</v>
      </c>
      <c r="D20">
        <v>2080</v>
      </c>
    </row>
    <row r="21" spans="1:4" x14ac:dyDescent="0.3">
      <c r="A21" t="s">
        <v>3</v>
      </c>
      <c r="B21">
        <v>20</v>
      </c>
      <c r="C21" t="s">
        <v>119</v>
      </c>
      <c r="D21">
        <v>2081</v>
      </c>
    </row>
    <row r="22" spans="1:4" x14ac:dyDescent="0.3">
      <c r="A22" t="s">
        <v>156</v>
      </c>
      <c r="B22">
        <v>21</v>
      </c>
      <c r="C22" t="s">
        <v>99</v>
      </c>
      <c r="D22">
        <v>2081</v>
      </c>
    </row>
    <row r="23" spans="1:4" x14ac:dyDescent="0.3">
      <c r="A23" t="s">
        <v>19</v>
      </c>
      <c r="B23">
        <v>22</v>
      </c>
      <c r="C23" t="s">
        <v>96</v>
      </c>
      <c r="D23">
        <v>2081</v>
      </c>
    </row>
  </sheetData>
  <autoFilter ref="A1:E24" xr:uid="{253D833C-4AD3-475E-AC4E-22B9F71A6936}">
    <sortState xmlns:xlrd2="http://schemas.microsoft.com/office/spreadsheetml/2017/richdata2" ref="A2:E24">
      <sortCondition ref="D1:D2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Sheet1</vt:lpstr>
      <vt:lpstr>Calender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Sudip Baral</dc:creator>
  <cp:lastModifiedBy>Sudip Baral</cp:lastModifiedBy>
  <dcterms:created xsi:type="dcterms:W3CDTF">2025-02-10T14:58:18Z</dcterms:created>
  <dcterms:modified xsi:type="dcterms:W3CDTF">2025-03-22T05:56:58Z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2025-02-11T13:03:27Z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d2e9f648-856f-49ea-9972-60a6431ba20b</vt:lpwstr>
  </property>
  <property fmtid="{D5CDD505-2E9C-101B-9397-08002B2CF9AE}" pid="7" name="MSIP_Label_defa4170-0d19-0005-0004-bc88714345d2_ActionId">
    <vt:lpwstr>9e1b0afb-74ee-4f7e-ae78-536d038e507f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